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" yWindow="165" windowWidth="18420" windowHeight="11700"/>
  </bookViews>
  <sheets>
    <sheet name="I1" sheetId="1" r:id="rId1"/>
    <sheet name="League" sheetId="2" r:id="rId2"/>
    <sheet name="CorrelReg" sheetId="4" r:id="rId3"/>
    <sheet name="Anova" sheetId="5" r:id="rId4"/>
    <sheet name="Team" sheetId="3" r:id="rId5"/>
    <sheet name="t-test" sheetId="8" r:id="rId6"/>
    <sheet name="Chi2GoF" sheetId="6" r:id="rId7"/>
    <sheet name="Chi2Ind" sheetId="7" r:id="rId8"/>
  </sheets>
  <functionGroups/>
  <definedNames>
    <definedName name="_xlnm._FilterDatabase" localSheetId="6" hidden="1">Chi2GoF!$A$5:$D$5</definedName>
    <definedName name="_xlnm._FilterDatabase" localSheetId="7" hidden="1">Chi2Ind!$A$5:$I$5</definedName>
    <definedName name="TeamPivot">OFFSET(Team!$A$4,0,0,MATCH("",Team!$E$4:$E$80,-1),27)</definedName>
    <definedName name="Teams">League!$B$2:$B$22</definedName>
  </definedNames>
  <calcPr calcId="125725" calcOnSave="0"/>
</workbook>
</file>

<file path=xl/calcChain.xml><?xml version="1.0" encoding="utf-8"?>
<calcChain xmlns="http://schemas.openxmlformats.org/spreadsheetml/2006/main">
  <c r="V36" i="7"/>
  <c r="M13" i="4"/>
  <c r="F73" i="5"/>
  <c r="F72"/>
  <c r="F71"/>
  <c r="D73"/>
  <c r="D72"/>
  <c r="D71"/>
  <c r="B73"/>
  <c r="B71"/>
  <c r="B72"/>
  <c r="F70"/>
  <c r="D70"/>
  <c r="B70"/>
  <c r="B42"/>
  <c r="C40"/>
  <c r="B41"/>
  <c r="B40"/>
  <c r="B56"/>
  <c r="B55"/>
  <c r="B54"/>
  <c r="O7"/>
  <c r="B58"/>
  <c r="D6" i="4" a="1"/>
  <c r="D8"/>
  <c r="G35" i="6"/>
  <c r="G7"/>
  <c r="L102" i="4" a="1"/>
  <c r="L103"/>
  <c r="U96"/>
  <c r="U31"/>
  <c r="M121"/>
  <c r="M112"/>
  <c r="M115"/>
  <c r="L48" a="1"/>
  <c r="L49"/>
  <c r="U97"/>
  <c r="M108"/>
  <c r="P86"/>
  <c r="P85"/>
  <c r="P87"/>
  <c r="U34"/>
  <c r="U32"/>
  <c r="M54"/>
  <c r="U33"/>
  <c r="U35"/>
  <c r="U36"/>
  <c r="P20"/>
  <c r="Y10" i="8"/>
  <c r="AA10"/>
  <c r="AB10"/>
  <c r="Z10"/>
  <c r="L11"/>
  <c r="L7"/>
  <c r="K7"/>
  <c r="Y7"/>
  <c r="AA7"/>
  <c r="Y8"/>
  <c r="Z8"/>
  <c r="Y9"/>
  <c r="AA9"/>
  <c r="AB9"/>
  <c r="Z9"/>
  <c r="G8" i="6"/>
  <c r="H8"/>
  <c r="C41" i="5"/>
  <c r="B43"/>
  <c r="D17" i="4"/>
  <c r="I14" i="5" s="1"/>
  <c r="J38" s="1"/>
  <c r="D25" i="4"/>
  <c r="D22"/>
  <c r="D18"/>
  <c r="D14"/>
  <c r="I11" i="5" s="1"/>
  <c r="J35" s="1"/>
  <c r="D10" i="4"/>
  <c r="D6"/>
  <c r="D21"/>
  <c r="D9"/>
  <c r="H10" i="5" s="1"/>
  <c r="D23" i="4"/>
  <c r="D19"/>
  <c r="D15"/>
  <c r="D11"/>
  <c r="D7"/>
  <c r="D13"/>
  <c r="D24"/>
  <c r="D20"/>
  <c r="I17" i="5" s="1"/>
  <c r="J41" s="1"/>
  <c r="D16" i="4"/>
  <c r="D12"/>
  <c r="M103"/>
  <c r="L102"/>
  <c r="M102"/>
  <c r="L48"/>
  <c r="M48"/>
  <c r="M49"/>
  <c r="AC10" i="8"/>
  <c r="AA8"/>
  <c r="AB8"/>
  <c r="AC8"/>
  <c r="M7"/>
  <c r="AC9"/>
  <c r="Z7"/>
  <c r="AB7"/>
  <c r="I11"/>
  <c r="I7"/>
  <c r="G33"/>
  <c r="G44"/>
  <c r="A2"/>
  <c r="G35"/>
  <c r="G36"/>
  <c r="G61"/>
  <c r="G62"/>
  <c r="G41"/>
  <c r="G43"/>
  <c r="G56"/>
  <c r="G40"/>
  <c r="D6" a="1"/>
  <c r="D8"/>
  <c r="A2" i="7"/>
  <c r="G21" i="6"/>
  <c r="H26" i="5" a="1"/>
  <c r="H28"/>
  <c r="J26"/>
  <c r="A5" i="4" a="1"/>
  <c r="A7"/>
  <c r="P21"/>
  <c r="P22"/>
  <c r="E6" a="1"/>
  <c r="G6"/>
  <c r="B6" a="1"/>
  <c r="B8"/>
  <c r="U8" s="1"/>
  <c r="C6" a="1"/>
  <c r="C22"/>
  <c r="C4" i="8"/>
  <c r="C5"/>
  <c r="B4"/>
  <c r="B5"/>
  <c r="I8" i="6"/>
  <c r="I7"/>
  <c r="K6" i="7"/>
  <c r="M6"/>
  <c r="M5"/>
  <c r="N5"/>
  <c r="O5"/>
  <c r="P5"/>
  <c r="L5"/>
  <c r="T11"/>
  <c r="U11"/>
  <c r="V11"/>
  <c r="W11"/>
  <c r="S11"/>
  <c r="T5"/>
  <c r="U5"/>
  <c r="V5"/>
  <c r="W5"/>
  <c r="S5"/>
  <c r="K7"/>
  <c r="M7"/>
  <c r="K8"/>
  <c r="L8"/>
  <c r="K9"/>
  <c r="O9"/>
  <c r="K10"/>
  <c r="N10"/>
  <c r="K11"/>
  <c r="M11"/>
  <c r="K12"/>
  <c r="L12"/>
  <c r="K13"/>
  <c r="O13"/>
  <c r="K14"/>
  <c r="N14"/>
  <c r="K15"/>
  <c r="M15"/>
  <c r="K16"/>
  <c r="L16"/>
  <c r="K17"/>
  <c r="O17"/>
  <c r="K18"/>
  <c r="N18"/>
  <c r="K19"/>
  <c r="M19"/>
  <c r="K20"/>
  <c r="L20"/>
  <c r="K21"/>
  <c r="O21"/>
  <c r="K22"/>
  <c r="N22"/>
  <c r="K23"/>
  <c r="M23"/>
  <c r="K24"/>
  <c r="L24"/>
  <c r="K25"/>
  <c r="O25"/>
  <c r="K26"/>
  <c r="N26"/>
  <c r="K27"/>
  <c r="M27"/>
  <c r="K28"/>
  <c r="L28"/>
  <c r="K29"/>
  <c r="O29"/>
  <c r="K30"/>
  <c r="N30"/>
  <c r="K31"/>
  <c r="M31"/>
  <c r="K32"/>
  <c r="L32"/>
  <c r="K33"/>
  <c r="O33"/>
  <c r="K34"/>
  <c r="N34"/>
  <c r="K35"/>
  <c r="M35"/>
  <c r="K36"/>
  <c r="L36"/>
  <c r="K37"/>
  <c r="O37"/>
  <c r="K38"/>
  <c r="N38"/>
  <c r="K39"/>
  <c r="M39"/>
  <c r="K40"/>
  <c r="L40"/>
  <c r="K41"/>
  <c r="O41"/>
  <c r="K42"/>
  <c r="N42"/>
  <c r="K43"/>
  <c r="M43"/>
  <c r="H7" i="6"/>
  <c r="A2"/>
  <c r="A43" i="3" a="1"/>
  <c r="A45"/>
  <c r="A5" a="1"/>
  <c r="A6"/>
  <c r="S32" i="7"/>
  <c r="S34"/>
  <c r="O6"/>
  <c r="O39"/>
  <c r="M33"/>
  <c r="N28"/>
  <c r="O23"/>
  <c r="M17"/>
  <c r="N12"/>
  <c r="O7"/>
  <c r="P6"/>
  <c r="N40"/>
  <c r="O35"/>
  <c r="M29"/>
  <c r="N24"/>
  <c r="O19"/>
  <c r="M13"/>
  <c r="N8"/>
  <c r="M41"/>
  <c r="N36"/>
  <c r="O31"/>
  <c r="M25"/>
  <c r="N20"/>
  <c r="O15"/>
  <c r="M9"/>
  <c r="O43"/>
  <c r="M37"/>
  <c r="N32"/>
  <c r="O27"/>
  <c r="M21"/>
  <c r="N16"/>
  <c r="O11"/>
  <c r="P38"/>
  <c r="P30"/>
  <c r="P26"/>
  <c r="P22"/>
  <c r="N6"/>
  <c r="N43"/>
  <c r="O42"/>
  <c r="P41"/>
  <c r="L41"/>
  <c r="M40"/>
  <c r="N39"/>
  <c r="O38"/>
  <c r="P37"/>
  <c r="L37"/>
  <c r="M36"/>
  <c r="N35"/>
  <c r="O34"/>
  <c r="P33"/>
  <c r="L33"/>
  <c r="M32"/>
  <c r="N31"/>
  <c r="O30"/>
  <c r="P29"/>
  <c r="L29"/>
  <c r="M28"/>
  <c r="N27"/>
  <c r="O26"/>
  <c r="P25"/>
  <c r="L25"/>
  <c r="M24"/>
  <c r="N23"/>
  <c r="O22"/>
  <c r="P21"/>
  <c r="L21"/>
  <c r="M20"/>
  <c r="N19"/>
  <c r="O18"/>
  <c r="P17"/>
  <c r="L17"/>
  <c r="M16"/>
  <c r="N15"/>
  <c r="O14"/>
  <c r="P13"/>
  <c r="L13"/>
  <c r="M12"/>
  <c r="N11"/>
  <c r="O10"/>
  <c r="P9"/>
  <c r="L9"/>
  <c r="M8"/>
  <c r="N7"/>
  <c r="P42"/>
  <c r="L38"/>
  <c r="L34"/>
  <c r="L30"/>
  <c r="P18"/>
  <c r="L18"/>
  <c r="P14"/>
  <c r="L14"/>
  <c r="P10"/>
  <c r="L10"/>
  <c r="P43"/>
  <c r="L43"/>
  <c r="M42"/>
  <c r="N41"/>
  <c r="O40"/>
  <c r="P39"/>
  <c r="L39"/>
  <c r="M38"/>
  <c r="N37"/>
  <c r="O36"/>
  <c r="P35"/>
  <c r="L35"/>
  <c r="M34"/>
  <c r="N33"/>
  <c r="O32"/>
  <c r="P31"/>
  <c r="L31"/>
  <c r="M30"/>
  <c r="N29"/>
  <c r="O28"/>
  <c r="P27"/>
  <c r="L27"/>
  <c r="M26"/>
  <c r="N25"/>
  <c r="O24"/>
  <c r="P23"/>
  <c r="L23"/>
  <c r="M22"/>
  <c r="N21"/>
  <c r="O20"/>
  <c r="P19"/>
  <c r="L19"/>
  <c r="M18"/>
  <c r="N17"/>
  <c r="O16"/>
  <c r="P15"/>
  <c r="L15"/>
  <c r="M14"/>
  <c r="N13"/>
  <c r="O12"/>
  <c r="P11"/>
  <c r="L11"/>
  <c r="M10"/>
  <c r="N9"/>
  <c r="O8"/>
  <c r="P7"/>
  <c r="L7"/>
  <c r="L42"/>
  <c r="P34"/>
  <c r="L26"/>
  <c r="L22"/>
  <c r="L6"/>
  <c r="P40"/>
  <c r="P36"/>
  <c r="P32"/>
  <c r="P28"/>
  <c r="P24"/>
  <c r="P20"/>
  <c r="P16"/>
  <c r="P12"/>
  <c r="P8"/>
  <c r="AC7" i="8"/>
  <c r="G63"/>
  <c r="G45"/>
  <c r="G38"/>
  <c r="G53"/>
  <c r="G65"/>
  <c r="G64"/>
  <c r="D6"/>
  <c r="D7"/>
  <c r="D41"/>
  <c r="D37"/>
  <c r="D33"/>
  <c r="D29"/>
  <c r="D25"/>
  <c r="D21"/>
  <c r="D17"/>
  <c r="D13"/>
  <c r="D9"/>
  <c r="D42"/>
  <c r="D38"/>
  <c r="D34"/>
  <c r="D30"/>
  <c r="D26"/>
  <c r="D22"/>
  <c r="D18"/>
  <c r="D14"/>
  <c r="D10"/>
  <c r="D43"/>
  <c r="D39"/>
  <c r="D35"/>
  <c r="D31"/>
  <c r="D27"/>
  <c r="D23"/>
  <c r="D19"/>
  <c r="D15"/>
  <c r="D11"/>
  <c r="D40"/>
  <c r="D36"/>
  <c r="D32"/>
  <c r="D28"/>
  <c r="D24"/>
  <c r="D20"/>
  <c r="D16"/>
  <c r="D12"/>
  <c r="G20" i="6"/>
  <c r="H46" i="5"/>
  <c r="H42"/>
  <c r="H38"/>
  <c r="H34"/>
  <c r="H30"/>
  <c r="H26"/>
  <c r="H41"/>
  <c r="H33"/>
  <c r="H43"/>
  <c r="H39"/>
  <c r="H35"/>
  <c r="H31"/>
  <c r="H27"/>
  <c r="H45"/>
  <c r="H37"/>
  <c r="H29"/>
  <c r="H44"/>
  <c r="H40"/>
  <c r="H36"/>
  <c r="H32"/>
  <c r="A25" i="4"/>
  <c r="A21"/>
  <c r="A17"/>
  <c r="A13"/>
  <c r="A9"/>
  <c r="A5"/>
  <c r="A24"/>
  <c r="A16"/>
  <c r="A8"/>
  <c r="A22"/>
  <c r="A18"/>
  <c r="A14"/>
  <c r="A10"/>
  <c r="A6"/>
  <c r="A20"/>
  <c r="A12"/>
  <c r="A23"/>
  <c r="A19"/>
  <c r="A15"/>
  <c r="A11"/>
  <c r="B21"/>
  <c r="F16"/>
  <c r="B22"/>
  <c r="B6"/>
  <c r="B81" s="1"/>
  <c r="E19"/>
  <c r="F8"/>
  <c r="B13"/>
  <c r="G21"/>
  <c r="E11"/>
  <c r="B14"/>
  <c r="U14" s="1"/>
  <c r="F24"/>
  <c r="G13"/>
  <c r="B25"/>
  <c r="B17"/>
  <c r="B9"/>
  <c r="U9" s="1"/>
  <c r="G24"/>
  <c r="H24" s="1"/>
  <c r="E22"/>
  <c r="F19"/>
  <c r="G16"/>
  <c r="E14"/>
  <c r="F11"/>
  <c r="G8"/>
  <c r="E6"/>
  <c r="B18"/>
  <c r="I39" i="5" s="1"/>
  <c r="B10" i="4"/>
  <c r="G25"/>
  <c r="E23"/>
  <c r="F20"/>
  <c r="G17"/>
  <c r="E15"/>
  <c r="F12"/>
  <c r="G9"/>
  <c r="E7"/>
  <c r="F23"/>
  <c r="G20"/>
  <c r="E18"/>
  <c r="H18" s="1"/>
  <c r="F15"/>
  <c r="G12"/>
  <c r="E10"/>
  <c r="F7"/>
  <c r="E25"/>
  <c r="G23"/>
  <c r="F22"/>
  <c r="H22" s="1"/>
  <c r="E21"/>
  <c r="G19"/>
  <c r="F18"/>
  <c r="E17"/>
  <c r="G15"/>
  <c r="H15" s="1"/>
  <c r="F14"/>
  <c r="E13"/>
  <c r="G11"/>
  <c r="F10"/>
  <c r="E9"/>
  <c r="G7"/>
  <c r="F6"/>
  <c r="F25"/>
  <c r="H25" s="1"/>
  <c r="E24"/>
  <c r="G22"/>
  <c r="F21"/>
  <c r="E20"/>
  <c r="G18"/>
  <c r="F17"/>
  <c r="E16"/>
  <c r="G14"/>
  <c r="F13"/>
  <c r="E12"/>
  <c r="G10"/>
  <c r="F9"/>
  <c r="E8"/>
  <c r="B23"/>
  <c r="B19"/>
  <c r="B15"/>
  <c r="I36" i="5" s="1"/>
  <c r="B11" i="4"/>
  <c r="B7"/>
  <c r="U7" s="1"/>
  <c r="B24"/>
  <c r="B20"/>
  <c r="B95" s="1"/>
  <c r="B16"/>
  <c r="B12"/>
  <c r="C8"/>
  <c r="C83" s="1"/>
  <c r="H83" s="1"/>
  <c r="C12"/>
  <c r="H12" s="1"/>
  <c r="C16"/>
  <c r="C20"/>
  <c r="C24"/>
  <c r="C7"/>
  <c r="C82" s="1"/>
  <c r="H82" s="1"/>
  <c r="C11"/>
  <c r="C15"/>
  <c r="C90" s="1"/>
  <c r="H90" s="1"/>
  <c r="C19"/>
  <c r="C94" s="1"/>
  <c r="H94" s="1"/>
  <c r="C6"/>
  <c r="H6" s="1"/>
  <c r="C9"/>
  <c r="C13"/>
  <c r="C17"/>
  <c r="C21"/>
  <c r="H21" s="1"/>
  <c r="C25"/>
  <c r="C23"/>
  <c r="C10"/>
  <c r="C14"/>
  <c r="C18"/>
  <c r="A70" i="3"/>
  <c r="A62"/>
  <c r="A58"/>
  <c r="A46"/>
  <c r="A79"/>
  <c r="A75"/>
  <c r="A71"/>
  <c r="A67"/>
  <c r="A63"/>
  <c r="A59"/>
  <c r="A55"/>
  <c r="A51"/>
  <c r="A47"/>
  <c r="A43"/>
  <c r="A78"/>
  <c r="A66"/>
  <c r="A50"/>
  <c r="A80"/>
  <c r="A76"/>
  <c r="A72"/>
  <c r="A68"/>
  <c r="A64"/>
  <c r="A60"/>
  <c r="A56"/>
  <c r="A52"/>
  <c r="A48"/>
  <c r="A44"/>
  <c r="A74"/>
  <c r="A54"/>
  <c r="A77"/>
  <c r="A73"/>
  <c r="A69"/>
  <c r="A65"/>
  <c r="A61"/>
  <c r="A57"/>
  <c r="A53"/>
  <c r="A49"/>
  <c r="A39"/>
  <c r="A35"/>
  <c r="A31"/>
  <c r="A27"/>
  <c r="A23"/>
  <c r="A19"/>
  <c r="A15"/>
  <c r="A11"/>
  <c r="A7"/>
  <c r="A40"/>
  <c r="A36"/>
  <c r="A32"/>
  <c r="A28"/>
  <c r="A24"/>
  <c r="A20"/>
  <c r="A16"/>
  <c r="A12"/>
  <c r="A8"/>
  <c r="A41"/>
  <c r="A37"/>
  <c r="A33"/>
  <c r="A29"/>
  <c r="A25"/>
  <c r="A21"/>
  <c r="A17"/>
  <c r="A13"/>
  <c r="A9"/>
  <c r="A5"/>
  <c r="A42"/>
  <c r="A38"/>
  <c r="A34"/>
  <c r="A30"/>
  <c r="A26"/>
  <c r="A22"/>
  <c r="A18"/>
  <c r="A14"/>
  <c r="A10"/>
  <c r="W7" i="7"/>
  <c r="V6"/>
  <c r="T6"/>
  <c r="W6"/>
  <c r="T7"/>
  <c r="I9" i="8"/>
  <c r="I10"/>
  <c r="I8"/>
  <c r="C79" i="4" a="1"/>
  <c r="A79" a="1"/>
  <c r="H17"/>
  <c r="U17" s="1"/>
  <c r="H7" i="5" a="1"/>
  <c r="H7"/>
  <c r="J7" a="1"/>
  <c r="J9"/>
  <c r="V7" i="7"/>
  <c r="U6"/>
  <c r="U7"/>
  <c r="S6"/>
  <c r="S7"/>
  <c r="G57" i="8"/>
  <c r="G47"/>
  <c r="G49"/>
  <c r="G22" i="6"/>
  <c r="G30"/>
  <c r="G36"/>
  <c r="I7" i="5" a="1"/>
  <c r="I18"/>
  <c r="I26" a="1"/>
  <c r="H19" i="4"/>
  <c r="I19" s="1"/>
  <c r="H8"/>
  <c r="I8" s="1"/>
  <c r="H10"/>
  <c r="J10" s="1"/>
  <c r="H9"/>
  <c r="I9" s="1"/>
  <c r="H16"/>
  <c r="U16"/>
  <c r="H14"/>
  <c r="I14" s="1"/>
  <c r="H7"/>
  <c r="H11"/>
  <c r="I11" s="1"/>
  <c r="H23"/>
  <c r="U23"/>
  <c r="H13"/>
  <c r="I13" s="1"/>
  <c r="H20"/>
  <c r="W8" i="7"/>
  <c r="W14"/>
  <c r="T8"/>
  <c r="T14"/>
  <c r="V8"/>
  <c r="V14"/>
  <c r="K8" i="8"/>
  <c r="L8"/>
  <c r="M8"/>
  <c r="AD7"/>
  <c r="L9"/>
  <c r="M9"/>
  <c r="K9"/>
  <c r="AD8"/>
  <c r="L10"/>
  <c r="K11"/>
  <c r="K10"/>
  <c r="AD9"/>
  <c r="J8" i="4"/>
  <c r="U10"/>
  <c r="U19"/>
  <c r="C81"/>
  <c r="H81" s="1"/>
  <c r="C93"/>
  <c r="H93" s="1"/>
  <c r="C84"/>
  <c r="H84"/>
  <c r="J84" s="1"/>
  <c r="C89"/>
  <c r="H89" s="1"/>
  <c r="C80"/>
  <c r="C92"/>
  <c r="H92" s="1"/>
  <c r="C85"/>
  <c r="H85" s="1"/>
  <c r="C98"/>
  <c r="H98"/>
  <c r="J98" s="1"/>
  <c r="C100"/>
  <c r="H100"/>
  <c r="I100"/>
  <c r="C79"/>
  <c r="C97"/>
  <c r="H97" s="1"/>
  <c r="C88"/>
  <c r="H88" s="1"/>
  <c r="C86"/>
  <c r="H86"/>
  <c r="J86" s="1"/>
  <c r="I86"/>
  <c r="C91"/>
  <c r="H91" s="1"/>
  <c r="C99"/>
  <c r="H99" s="1"/>
  <c r="C95"/>
  <c r="H95"/>
  <c r="I95" s="1"/>
  <c r="J17"/>
  <c r="A80"/>
  <c r="A81"/>
  <c r="B83"/>
  <c r="B86"/>
  <c r="A89"/>
  <c r="B92"/>
  <c r="B96"/>
  <c r="B100"/>
  <c r="B80"/>
  <c r="A83"/>
  <c r="B85"/>
  <c r="B88"/>
  <c r="A91"/>
  <c r="A95"/>
  <c r="A99"/>
  <c r="B79"/>
  <c r="B82"/>
  <c r="A85"/>
  <c r="B87"/>
  <c r="B94"/>
  <c r="B98"/>
  <c r="A79"/>
  <c r="B84"/>
  <c r="A87"/>
  <c r="B89"/>
  <c r="A93"/>
  <c r="A97"/>
  <c r="B93"/>
  <c r="A96"/>
  <c r="A88"/>
  <c r="B97"/>
  <c r="A100"/>
  <c r="A92"/>
  <c r="A84"/>
  <c r="B99"/>
  <c r="B91"/>
  <c r="A94"/>
  <c r="A86"/>
  <c r="A98"/>
  <c r="A90"/>
  <c r="A82"/>
  <c r="J100"/>
  <c r="I10" i="5"/>
  <c r="H8"/>
  <c r="H9"/>
  <c r="J10"/>
  <c r="J46" s="1"/>
  <c r="J7"/>
  <c r="O6" s="1"/>
  <c r="J8"/>
  <c r="U8" i="7"/>
  <c r="U14"/>
  <c r="S8"/>
  <c r="S14"/>
  <c r="X6"/>
  <c r="X12"/>
  <c r="X7"/>
  <c r="X13"/>
  <c r="G25" i="6"/>
  <c r="I28" i="5"/>
  <c r="I42"/>
  <c r="I45"/>
  <c r="I38"/>
  <c r="I35"/>
  <c r="I40"/>
  <c r="I33"/>
  <c r="I41"/>
  <c r="I46"/>
  <c r="I44"/>
  <c r="I26"/>
  <c r="I43"/>
  <c r="I34"/>
  <c r="I37"/>
  <c r="I30"/>
  <c r="I31"/>
  <c r="I29"/>
  <c r="I32"/>
  <c r="I16"/>
  <c r="I9"/>
  <c r="I15"/>
  <c r="I12"/>
  <c r="I7"/>
  <c r="I8"/>
  <c r="J32" s="1"/>
  <c r="I13"/>
  <c r="J37" s="1"/>
  <c r="J23" i="4"/>
  <c r="I23"/>
  <c r="J16"/>
  <c r="I16"/>
  <c r="J20"/>
  <c r="I20"/>
  <c r="J7"/>
  <c r="I7"/>
  <c r="M10" i="8"/>
  <c r="M11"/>
  <c r="J27" i="5" a="1"/>
  <c r="J27"/>
  <c r="J31" a="1"/>
  <c r="J42"/>
  <c r="J43" a="1"/>
  <c r="J45"/>
  <c r="X8" i="7"/>
  <c r="X14"/>
  <c r="S13"/>
  <c r="S17"/>
  <c r="S43"/>
  <c r="S12"/>
  <c r="U13"/>
  <c r="U17"/>
  <c r="V13"/>
  <c r="V17"/>
  <c r="J28" i="5"/>
  <c r="J29"/>
  <c r="J44"/>
  <c r="J43"/>
  <c r="J31"/>
  <c r="J39"/>
  <c r="J34"/>
  <c r="J33"/>
  <c r="J40"/>
  <c r="J36"/>
  <c r="S16" i="7"/>
  <c r="T13"/>
  <c r="T17"/>
  <c r="V12"/>
  <c r="V16"/>
  <c r="W12"/>
  <c r="W16"/>
  <c r="W13"/>
  <c r="W17"/>
  <c r="U12"/>
  <c r="U16"/>
  <c r="T12"/>
  <c r="T16"/>
  <c r="S36"/>
  <c r="S44"/>
  <c r="W43"/>
  <c r="S38"/>
  <c r="S45"/>
  <c r="J93" i="4" l="1"/>
  <c r="I93"/>
  <c r="U6"/>
  <c r="J6"/>
  <c r="I6"/>
  <c r="I25"/>
  <c r="U25"/>
  <c r="J25"/>
  <c r="I97"/>
  <c r="J97"/>
  <c r="I92"/>
  <c r="J92"/>
  <c r="I21"/>
  <c r="U21"/>
  <c r="J21"/>
  <c r="I18"/>
  <c r="J18"/>
  <c r="U18"/>
  <c r="I91"/>
  <c r="J91"/>
  <c r="J88"/>
  <c r="I88"/>
  <c r="J85"/>
  <c r="I85"/>
  <c r="I90"/>
  <c r="J90"/>
  <c r="U12"/>
  <c r="I82"/>
  <c r="J82"/>
  <c r="I15"/>
  <c r="J15"/>
  <c r="U15"/>
  <c r="J99"/>
  <c r="I99"/>
  <c r="J89"/>
  <c r="I89"/>
  <c r="J81"/>
  <c r="I81"/>
  <c r="J94"/>
  <c r="I94"/>
  <c r="I83"/>
  <c r="J83"/>
  <c r="I22"/>
  <c r="U22"/>
  <c r="J22"/>
  <c r="J12"/>
  <c r="I12"/>
  <c r="U24"/>
  <c r="J24"/>
  <c r="I24"/>
  <c r="J30" i="5"/>
  <c r="O14"/>
  <c r="J95" i="4"/>
  <c r="I98"/>
  <c r="I10"/>
  <c r="J9"/>
  <c r="J13"/>
  <c r="J14"/>
  <c r="J11"/>
  <c r="I27" i="5"/>
  <c r="B90" i="4"/>
  <c r="I84"/>
  <c r="C87"/>
  <c r="H87" s="1"/>
  <c r="U20"/>
  <c r="U13"/>
  <c r="U11"/>
  <c r="J19"/>
  <c r="I17"/>
  <c r="C96"/>
  <c r="H96" s="1"/>
  <c r="I96" l="1"/>
  <c r="J96"/>
  <c r="J87"/>
  <c r="I87"/>
</calcChain>
</file>

<file path=xl/comments1.xml><?xml version="1.0" encoding="utf-8"?>
<comments xmlns="http://schemas.openxmlformats.org/spreadsheetml/2006/main">
  <authors>
    <author>Faidon (Minas) Dermesonoglou</author>
  </authors>
  <commentList>
    <comment ref="R6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Tendency to draw, even win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Tendency to draw, even lose</t>
        </r>
      </text>
    </comment>
  </commentList>
</comments>
</file>

<file path=xl/sharedStrings.xml><?xml version="1.0" encoding="utf-8"?>
<sst xmlns="http://schemas.openxmlformats.org/spreadsheetml/2006/main" count="2961" uniqueCount="460">
  <si>
    <t>Div</t>
  </si>
  <si>
    <t>Date</t>
  </si>
  <si>
    <t>HomeTeam</t>
  </si>
  <si>
    <t>AwayTeam</t>
  </si>
  <si>
    <t>FTHG</t>
  </si>
  <si>
    <t>FTAG</t>
  </si>
  <si>
    <t>FTR</t>
  </si>
  <si>
    <t>HTHG</t>
  </si>
  <si>
    <t>HTAG</t>
  </si>
  <si>
    <t>HTR</t>
  </si>
  <si>
    <t>HS</t>
  </si>
  <si>
    <t>AS</t>
  </si>
  <si>
    <t>HST</t>
  </si>
  <si>
    <t>AST</t>
  </si>
  <si>
    <t>HF</t>
  </si>
  <si>
    <t>AF</t>
  </si>
  <si>
    <t>HC</t>
  </si>
  <si>
    <t>AC</t>
  </si>
  <si>
    <t>HY</t>
  </si>
  <si>
    <t>AY</t>
  </si>
  <si>
    <t>HR</t>
  </si>
  <si>
    <t>AR</t>
  </si>
  <si>
    <t>B365H</t>
  </si>
  <si>
    <t>B365D</t>
  </si>
  <si>
    <t>B365A</t>
  </si>
  <si>
    <t>BWH</t>
  </si>
  <si>
    <t>BWD</t>
  </si>
  <si>
    <t>BWA</t>
  </si>
  <si>
    <t>IWH</t>
  </si>
  <si>
    <t>IWD</t>
  </si>
  <si>
    <t>IWA</t>
  </si>
  <si>
    <t>LBH</t>
  </si>
  <si>
    <t>LBD</t>
  </si>
  <si>
    <t>LBA</t>
  </si>
  <si>
    <t>PSH</t>
  </si>
  <si>
    <t>PSD</t>
  </si>
  <si>
    <t>PSA</t>
  </si>
  <si>
    <t>WHH</t>
  </si>
  <si>
    <t>WHD</t>
  </si>
  <si>
    <t>WHA</t>
  </si>
  <si>
    <t>SJH</t>
  </si>
  <si>
    <t>SJD</t>
  </si>
  <si>
    <t>SJA</t>
  </si>
  <si>
    <t>VCH</t>
  </si>
  <si>
    <t>VCD</t>
  </si>
  <si>
    <t>VCA</t>
  </si>
  <si>
    <t>Bb1X2</t>
  </si>
  <si>
    <t>BbMxH</t>
  </si>
  <si>
    <t>BbAvH</t>
  </si>
  <si>
    <t>BbMxD</t>
  </si>
  <si>
    <t>BbAvD</t>
  </si>
  <si>
    <t>BbMxA</t>
  </si>
  <si>
    <t>BbAvA</t>
  </si>
  <si>
    <t>BbOU</t>
  </si>
  <si>
    <t>BbAH</t>
  </si>
  <si>
    <t>BbAHh</t>
  </si>
  <si>
    <t>BbMxAHH</t>
  </si>
  <si>
    <t>BbAvAHH</t>
  </si>
  <si>
    <t>BbMxAHA</t>
  </si>
  <si>
    <t>BbAvAHA</t>
  </si>
  <si>
    <t>PSCH</t>
  </si>
  <si>
    <t>PSCD</t>
  </si>
  <si>
    <t>PSCA</t>
  </si>
  <si>
    <t>I1</t>
  </si>
  <si>
    <t>Sampdoria</t>
  </si>
  <si>
    <t>Juventus</t>
  </si>
  <si>
    <t>A</t>
  </si>
  <si>
    <t>D</t>
  </si>
  <si>
    <t>Verona</t>
  </si>
  <si>
    <t>Milan</t>
  </si>
  <si>
    <t>H</t>
  </si>
  <si>
    <t>Cagliari</t>
  </si>
  <si>
    <t>Atalanta</t>
  </si>
  <si>
    <t>Inter</t>
  </si>
  <si>
    <t>Genoa</t>
  </si>
  <si>
    <t>Lazio</t>
  </si>
  <si>
    <t>Udinese</t>
  </si>
  <si>
    <t>Livorno</t>
  </si>
  <si>
    <t>Roma</t>
  </si>
  <si>
    <t>Napoli</t>
  </si>
  <si>
    <t>Bologna</t>
  </si>
  <si>
    <t>Parma</t>
  </si>
  <si>
    <t>Chievo</t>
  </si>
  <si>
    <t>Torino</t>
  </si>
  <si>
    <t>Sassuolo</t>
  </si>
  <si>
    <t>Fiorentina</t>
  </si>
  <si>
    <t>Catania</t>
  </si>
  <si>
    <t>Team</t>
  </si>
  <si>
    <t>Points</t>
  </si>
  <si>
    <t>Rank</t>
  </si>
  <si>
    <t>W</t>
  </si>
  <si>
    <t>L</t>
  </si>
  <si>
    <t>GF</t>
  </si>
  <si>
    <t>GA</t>
  </si>
  <si>
    <t>ST</t>
  </si>
  <si>
    <t>C</t>
  </si>
  <si>
    <t>F</t>
  </si>
  <si>
    <t>Y</t>
  </si>
  <si>
    <t>B365L</t>
  </si>
  <si>
    <t>B365W</t>
  </si>
  <si>
    <t>BWW</t>
  </si>
  <si>
    <t>BWL</t>
  </si>
  <si>
    <t>LBW</t>
  </si>
  <si>
    <t>LBL</t>
  </si>
  <si>
    <t>PSW</t>
  </si>
  <si>
    <t>PSL</t>
  </si>
  <si>
    <t>WHW</t>
  </si>
  <si>
    <t>WHL</t>
  </si>
  <si>
    <t>Game</t>
  </si>
  <si>
    <t>HA</t>
  </si>
  <si>
    <t>WDL</t>
  </si>
  <si>
    <t>S</t>
  </si>
  <si>
    <t>Team_1</t>
  </si>
  <si>
    <t>Team_2</t>
  </si>
  <si>
    <t>Expected Freq</t>
  </si>
  <si>
    <t>Observed Freq</t>
  </si>
  <si>
    <t>Succesful</t>
  </si>
  <si>
    <t>Unsuccesful</t>
  </si>
  <si>
    <t>Observed</t>
  </si>
  <si>
    <t>Expected</t>
  </si>
  <si>
    <t>Total</t>
  </si>
  <si>
    <t>Mean</t>
  </si>
  <si>
    <t>Yes Optimistic</t>
  </si>
  <si>
    <t>No Optimistic</t>
  </si>
  <si>
    <t>Variance</t>
  </si>
  <si>
    <t>Observations</t>
  </si>
  <si>
    <t>df</t>
  </si>
  <si>
    <t>t Stat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</si>
  <si>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 xml:space="preserve"> (md)</t>
    </r>
  </si>
  <si>
    <t>Correlation</t>
  </si>
  <si>
    <t>SUMMARY OUTPUT</t>
  </si>
  <si>
    <t>Regression Statistics</t>
  </si>
  <si>
    <t>Multiple R</t>
  </si>
  <si>
    <t>R Square</t>
  </si>
  <si>
    <t>Adjusted R Square</t>
  </si>
  <si>
    <t>Standard Error</t>
  </si>
  <si>
    <t>ANOVA</t>
  </si>
  <si>
    <t>Regression</t>
  </si>
  <si>
    <t>Residual</t>
  </si>
  <si>
    <t>Intercept</t>
  </si>
  <si>
    <t>SS</t>
  </si>
  <si>
    <t>MS</t>
  </si>
  <si>
    <t>Significance F</t>
  </si>
  <si>
    <t>Coefficients</t>
  </si>
  <si>
    <t>P-value</t>
  </si>
  <si>
    <t>Lower 95%</t>
  </si>
  <si>
    <t>Upper 95%</t>
  </si>
  <si>
    <t>Lower 95,0%</t>
  </si>
  <si>
    <t>Upper 95,0%</t>
  </si>
  <si>
    <t>Correlation for MultiCollinearity Presence</t>
  </si>
  <si>
    <t>y</t>
  </si>
  <si>
    <t>x2</t>
  </si>
  <si>
    <t>x3</t>
  </si>
  <si>
    <t>x4</t>
  </si>
  <si>
    <t>x5</t>
  </si>
  <si>
    <t>x6</t>
  </si>
  <si>
    <t>GF to S</t>
  </si>
  <si>
    <t>GA Avg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</si>
  <si>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</si>
  <si>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</si>
  <si>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</si>
  <si>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</si>
  <si>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</si>
  <si>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</si>
  <si>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</si>
  <si>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</si>
  <si>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</si>
  <si>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</si>
  <si>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</si>
  <si>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Confidence Level(95,0%)</t>
  </si>
  <si>
    <t>Y-hat</t>
  </si>
  <si>
    <t>t</t>
  </si>
  <si>
    <t>sey</t>
  </si>
  <si>
    <t>Δ Y-hat</t>
  </si>
  <si>
    <t>Y-hat UB</t>
  </si>
  <si>
    <t>Y-hat LB</t>
  </si>
  <si>
    <t>Conf. Int.</t>
  </si>
  <si>
    <t>Top 4</t>
  </si>
  <si>
    <t>Middle 12</t>
  </si>
  <si>
    <t>Bottom 4</t>
  </si>
  <si>
    <t>Anova: Single Factor</t>
  </si>
  <si>
    <t>SUMMARY</t>
  </si>
  <si>
    <t>Groups</t>
  </si>
  <si>
    <t>Average</t>
  </si>
  <si>
    <t>Source of Variation</t>
  </si>
  <si>
    <t>F crit</t>
  </si>
  <si>
    <t>Between Groups</t>
  </si>
  <si>
    <t>Within Groups</t>
  </si>
  <si>
    <t>chi2 stat</t>
  </si>
  <si>
    <t>p</t>
  </si>
  <si>
    <t>a</t>
  </si>
  <si>
    <t>chi2 critical</t>
  </si>
  <si>
    <t>Fall in critical region</t>
  </si>
  <si>
    <t>p &lt; 0.05</t>
  </si>
  <si>
    <t>Ratio</t>
  </si>
  <si>
    <t>p &gt; 0.01</t>
  </si>
  <si>
    <t>Ho : Expected freq. Milan has a better team roster in 2013-2014 season</t>
  </si>
  <si>
    <t>Ha : Observed freq. Milan had a significant better team roster in 2012-2013 season</t>
  </si>
  <si>
    <t>Reject the null hypothesis Ho</t>
  </si>
  <si>
    <t>Fail to reject the null hypothesis Ho</t>
  </si>
  <si>
    <t>It is marginally significant. There is a 10.5% chance of committing a Type 2 error.</t>
  </si>
  <si>
    <t>Conclusion</t>
  </si>
  <si>
    <t>Ordinal</t>
  </si>
  <si>
    <t>Ho :  Type of betting sport company and Milan drawing the game at home are independent</t>
  </si>
  <si>
    <t>Ha :  Type of betting sport company and Milan drawing the game at home are not independent</t>
  </si>
  <si>
    <t xml:space="preserve">Based on this analysis, we would conclude that these two variables </t>
  </si>
  <si>
    <t xml:space="preserve">are not independent of each other (i.e. your chances of selecting and trust the right betting company </t>
  </si>
  <si>
    <t>k</t>
  </si>
  <si>
    <t>Cramer's V</t>
  </si>
  <si>
    <t>n</t>
  </si>
  <si>
    <t>Measure of Effect Size</t>
  </si>
  <si>
    <t>Small</t>
  </si>
  <si>
    <t>Medium</t>
  </si>
  <si>
    <t>Large</t>
  </si>
  <si>
    <t>phi</t>
  </si>
  <si>
    <t>Phi demostrate meaningful data differences and large amount of impact the independent variable (team roster) has on the dependent variable (Milan home win).</t>
  </si>
  <si>
    <t>Assumption</t>
  </si>
  <si>
    <t>Betting score &lt;= Mean of five betting scores + 0.04</t>
  </si>
  <si>
    <t>Betting score &gt; Mean of five betting scores + 0.04</t>
  </si>
  <si>
    <t>Δ (md) Descriptive Stats</t>
  </si>
  <si>
    <t>t-critical</t>
  </si>
  <si>
    <t>SEM</t>
  </si>
  <si>
    <t>t-stat</t>
  </si>
  <si>
    <t>Cohen's d</t>
  </si>
  <si>
    <t>95% CI for the mean difference</t>
  </si>
  <si>
    <t>Margin of error</t>
  </si>
  <si>
    <t>Lower bound CI</t>
  </si>
  <si>
    <t>Upper Bound CI</t>
  </si>
  <si>
    <t>R2</t>
  </si>
  <si>
    <t>hypo mean diff</t>
  </si>
  <si>
    <t>Teams diff</t>
  </si>
  <si>
    <t>x bar mean diff</t>
  </si>
  <si>
    <t>expected difference on hypothesis testing</t>
  </si>
  <si>
    <t>standard error of the mean. Sample</t>
  </si>
  <si>
    <t>Middle</t>
  </si>
  <si>
    <t>Study</t>
  </si>
  <si>
    <t>Dependent</t>
  </si>
  <si>
    <t>Independent / Treatment</t>
  </si>
  <si>
    <t>Teams striking performance on the field</t>
  </si>
  <si>
    <t>based on hypothesis chosen, we do a one-tail test</t>
  </si>
  <si>
    <t>Ho: md &gt;= 0,51</t>
  </si>
  <si>
    <t>observed difference. Sample mean and Point estimate</t>
  </si>
  <si>
    <t>p &gt; 0.05</t>
  </si>
  <si>
    <t>use a two-tailed critical value</t>
  </si>
  <si>
    <t>CI tells us that if Milan had Inter strikers on the field, they would likely score on average between -0.45 and 0.71 goals.</t>
  </si>
  <si>
    <t>Not statistically significant as p &gt; 0.05</t>
  </si>
  <si>
    <t>Results Meaningful</t>
  </si>
  <si>
    <t>standard error of the differences using Bessel's correction</t>
  </si>
  <si>
    <t>The other 96% can be explained by something else such as Milan's personality (i.e. Lots of fouls committed) or not efficient enough in scoring even if they had commited more shots.</t>
  </si>
  <si>
    <t>proportion of goal difference attributed to team</t>
  </si>
  <si>
    <t>This is an experimental design, we can make causal statements. So we can say that the team roster had a</t>
  </si>
  <si>
    <t>causal effect on the number of goals. Lower bound CI shows that there were games or a short time period that Milan was scoring more.</t>
  </si>
  <si>
    <t>But Upper bound CI being positive and far away from the middle relative to the Lower Bound CI shows Inter better overall performance.</t>
  </si>
  <si>
    <t xml:space="preserve">Not quite as we make personal observations of how much a betting company is optimistic of a result </t>
  </si>
  <si>
    <t>Min</t>
  </si>
  <si>
    <t>Q1</t>
  </si>
  <si>
    <t>Med</t>
  </si>
  <si>
    <t>Q3</t>
  </si>
  <si>
    <t>Max</t>
  </si>
  <si>
    <t>Original</t>
  </si>
  <si>
    <t>Δ (md)</t>
  </si>
  <si>
    <t>Q2</t>
  </si>
  <si>
    <t>Crosscheck</t>
  </si>
  <si>
    <t>Q4</t>
  </si>
  <si>
    <t>Plot to be</t>
  </si>
  <si>
    <t>Plot to do</t>
  </si>
  <si>
    <t>Plot Adjust</t>
  </si>
  <si>
    <t>Sorted</t>
  </si>
  <si>
    <t>Hypothesis Testing</t>
  </si>
  <si>
    <t>Research Question</t>
  </si>
  <si>
    <t>irrespective of the goals both teams conceded ?</t>
  </si>
  <si>
    <t>measure of effect size. It tells us that the means are 0.7 standard deviation units apart. The larger the Cohen's d, the further x bar mean diff is from mean m</t>
  </si>
  <si>
    <t>Milan is one of the top clubs globally and indeed one that watches football expects a high home succesful rate of wins.</t>
  </si>
  <si>
    <t>Milan significant changes on summer transfers or internally in their team during the year 2013 had an appeal on their</t>
  </si>
  <si>
    <t>then there is about 10.5% chance that we are right and that these differences (observed vs expected) are due to chance.</t>
  </si>
  <si>
    <t>Meaning that if we conclude that Milan's team roster of 2013-2014 is better than average of getting Milan equal or more wins at home,</t>
  </si>
  <si>
    <t>As Milan is one of the top clubs globally, at home the result more likely to occur is to win and the one less likely is to lose.</t>
  </si>
  <si>
    <t>Measurement Scale</t>
  </si>
  <si>
    <t>Dependent Variable</t>
  </si>
  <si>
    <t>Milan's home wins performance rate</t>
  </si>
  <si>
    <t>Milan's drawing result tendency during home games</t>
  </si>
  <si>
    <t>Sig</t>
  </si>
  <si>
    <t>This means that 93% of the differences in y are due to differences in x2, x3, x4, x5 and x6.</t>
  </si>
  <si>
    <t>The pearson correlation coefficient r is very high meaning that the relationship between y and x is very strong.</t>
  </si>
  <si>
    <t>x</t>
  </si>
  <si>
    <t>If a team concedes a goal per game, one could earn 69 league points.</t>
  </si>
  <si>
    <t>If a team concedes no goals, one could earn 116 league points.</t>
  </si>
  <si>
    <t>is much smaller than our previous example with Inter above.</t>
  </si>
  <si>
    <t>which shows the linear relationship between goals average per game and league points,</t>
  </si>
  <si>
    <t>one can see the presence of many positive (Juventus, Napoli, Verona)</t>
  </si>
  <si>
    <t>and negative outliers (Inter, Genoa, Cagliari, Chievo, Bologna).</t>
  </si>
  <si>
    <t>Positive outliers mean they gained more points than expected relative to the goals they conceded.</t>
  </si>
  <si>
    <t>Juventus and Napoli helped them to finish high on the table while Verona to finish on a descent position.</t>
  </si>
  <si>
    <t>Negative outliers mean they gained less points than expected relative to the goals they conceded.</t>
  </si>
  <si>
    <t xml:space="preserve">Inter did not manage to finish on the top three teams while Bologna got relegated to the second division Serie B. </t>
  </si>
  <si>
    <t xml:space="preserve">points in the table (5 * -0.29). We found that the regression coefficient for GA Avg and GF to S were statistically </t>
  </si>
  <si>
    <t>relationship between those two variables (GA Avg and Points).</t>
  </si>
  <si>
    <t>Ho : bx2 = 0</t>
  </si>
  <si>
    <t>Ha: bx2 diff to 0</t>
  </si>
  <si>
    <t>bx2 is the slope for GA Avg</t>
  </si>
  <si>
    <t>on the population based on our sample data.</t>
  </si>
  <si>
    <t>relative to the league position on our table (x-axis). The reason for this graph is to show the tendency of the teams to the predicted line.</t>
  </si>
  <si>
    <t>we show the relationship of observed y, expected y-hat, lower and upper confidence interval y-hat</t>
  </si>
  <si>
    <t>For ex. Juventus performed well above its predicted statistics while Genoa well below and close to the predicted line.</t>
  </si>
  <si>
    <t>or -1 (negative corr.). We have an experimental study with five x factors (GA Avg, GF to S, C, F, Y) which means that we can make efficient causations.</t>
  </si>
  <si>
    <t>significant (p&lt;0.05) while C, F, Y were not significant with p&gt;0.05. We decided to use GA Avg as our factor x and Points y</t>
  </si>
  <si>
    <t>Thus assuming all five x statistics above taken into account, how close, far away above and far away below raw_data values are to the y-hat.</t>
  </si>
  <si>
    <t>However GA Avg is a strong factor (high R Square of 0.827) as generally the more goals you concede, the more likely to gain fewer points.</t>
  </si>
  <si>
    <t xml:space="preserve">more difficult to determine this for Genoa who finished in the middle of the table and other x factors could explained also her league position. </t>
  </si>
  <si>
    <t>have remained the same. That would be more obvious for Juventus and Inter that finished on the top 5 in the league while it would be</t>
  </si>
  <si>
    <t>Yes. We obtained R squares higher than 80%. The Correlation matrix above (Range L6:Q11) show values far away from zero, close to 1 (positive corr.)</t>
  </si>
  <si>
    <t>This means that 77% of the differences in y are due to differences in x2.</t>
  </si>
  <si>
    <t>There is enough evidence to reject the null. There appears to be a significant relationship between x and y</t>
  </si>
  <si>
    <t>Linear regression model between GA Avg (independent variable) and Points (dependent variable).</t>
  </si>
  <si>
    <t>A team to finish with 70 points that most probably will secure them a place to European Cups,</t>
  </si>
  <si>
    <t>it would need to concede on average a goal per game.</t>
  </si>
  <si>
    <t>Sassuolo and Livorno exceeded expectations and raw_data fell on upper CI but they ended up</t>
  </si>
  <si>
    <t xml:space="preserve">of team players. </t>
  </si>
  <si>
    <t>Napoli and Inter had same GA Avg and League points difference was eighteen, which is substantially high.</t>
  </si>
  <si>
    <t>Thus Napoli's GF to S (13.34%) which was higher than Inter's (11.36%) played a significant role for Napoli to finish third</t>
  </si>
  <si>
    <t>and Inter fifth on the table.</t>
  </si>
  <si>
    <t>on the bottom five of the table. Therefore other factors played also significant role as for ex. quality</t>
  </si>
  <si>
    <t xml:space="preserve">Does Inter which finished fifth in the league scores relativelly more than Milan </t>
  </si>
  <si>
    <t>that finished eighth ? Inter finished 5th to participate in Europe. Assuming that the points difference were three</t>
  </si>
  <si>
    <t>Number of goal differences between the two teams</t>
  </si>
  <si>
    <t>On the one hand, yes as we conduct a hypothesis for mean difference of 0.51 which is closer to 1 rather than 0 and that Inter finished upper in the league table than Milan.</t>
  </si>
  <si>
    <t xml:space="preserve">overall performance during the season 2013-2014. New entries might have reduced the home team performance. </t>
  </si>
  <si>
    <t>Since our standard industry level is a = 0.05 and this meet our threshold, then we would guess that Milan had a significant better team roster in 2012-2013 season.</t>
  </si>
  <si>
    <t>A Type 2 error is likely to occur at a = 0.01. However to assume that we might be 10,53% right is a significant amount out of 19 home games for Milan with a home success rate of over 50% in the past.</t>
  </si>
  <si>
    <t>A 10.53% difference in season performance is quite meaningful. However we do not take into account other factors such as injuries, yellow cards, fouls committed.</t>
  </si>
  <si>
    <t>On every football professional game at this high level, there are betting companies that predict an amount of a team</t>
  </si>
  <si>
    <t>is about to win, draw or lose the game. The lower this amount, the more probable the result will occur and vice-versa.</t>
  </si>
  <si>
    <t>Reject the null because chi2 stat exceeds the chi2 critical value for a=0.05.</t>
  </si>
  <si>
    <t xml:space="preserve">We did a Multiple regression on league points (Points y) with team goals against (GA Avg x2), goal forward to shots % (GF to S x3), </t>
  </si>
  <si>
    <t>corner kicks taken (C x4), fouls committed (F x5) and yellow cards taken (Y x6). A positive regression coefficient (ex. GF to S) means</t>
  </si>
  <si>
    <t>that increase the goal to all shots (on and off target) by 28% would have an accompanying gain of about 1 table point (0.28 * 3.5).</t>
  </si>
  <si>
    <t>A negative regression coefficient as yellow cards Y means that giving up 5 yellow cards over the season would gain an average of 1.45</t>
  </si>
  <si>
    <t>as there appears to be a relationship between those x and y (proved is statistically significant).</t>
  </si>
  <si>
    <t>We will use below our multiple regression model designed above and a linear regression with x factor GA Avg isolated to examine the</t>
  </si>
  <si>
    <t>The pearson correlation coefficient r is very high meaning that the relationship between y and x's is very strong.</t>
  </si>
  <si>
    <t>Another outlier of negative residual was Inter that lost a lot of points that could have brought her up at least one position.</t>
  </si>
  <si>
    <t>Juventus was close to x=0 earning 14 less points. However bearing in mind that</t>
  </si>
  <si>
    <t>Results are not very meaningful for teams that finished on top five and bottom five in the league.</t>
  </si>
  <si>
    <t xml:space="preserve">Thus we choose from our study, how do the betting companies behave (whether optimistic or not) that Milan might not win </t>
  </si>
  <si>
    <t>or not. Optimism in this sense can be considered as a measure of risk and how cautious each betting company is.</t>
  </si>
  <si>
    <t xml:space="preserve">There are external factors such as "corruption" and even if a betting company might predict well the result, game result might not end as expected. </t>
  </si>
  <si>
    <t xml:space="preserve">or lose the game at home. Do betting companies act independently on Milan's drawing result or Milan's chances to draw </t>
  </si>
  <si>
    <t>The key to long term success in sports betting is knowing whether one has any genuine forecasting talent or whether one is just plain lucky.</t>
  </si>
  <si>
    <t>Ho : mt4 = mM12 = mB4</t>
  </si>
  <si>
    <t>x bar g</t>
  </si>
  <si>
    <t>grand mean</t>
  </si>
  <si>
    <t>sample size</t>
  </si>
  <si>
    <t>group size</t>
  </si>
  <si>
    <t>Tukey's HSD</t>
  </si>
  <si>
    <t>Top 4 and Middle 12</t>
  </si>
  <si>
    <t>Top 4 and Bottom 4</t>
  </si>
  <si>
    <t>Middle 12 and Bottom 4</t>
  </si>
  <si>
    <t>Middle group has 12 teams as opposed to Top and Bottom that have 4.</t>
  </si>
  <si>
    <t>There are 20 teams in the league. We create three groups of teams</t>
  </si>
  <si>
    <t xml:space="preserve">relative to their shots (GF toS) can explain whether there is a </t>
  </si>
  <si>
    <t xml:space="preserve">significant difference in the shots accuracy. Are these 3 group of </t>
  </si>
  <si>
    <t>teams more or less efficient in scoring relative to their shots taken</t>
  </si>
  <si>
    <t>than the others ?</t>
  </si>
  <si>
    <t xml:space="preserve">the Bottom 4. We observed that the amount of goals a team scored </t>
  </si>
  <si>
    <t xml:space="preserve">relative to their level of league position. The Top4, the Middle 12 and </t>
  </si>
  <si>
    <t>F-Stat</t>
  </si>
  <si>
    <t>F-Critical</t>
  </si>
  <si>
    <t>We likely to reject the null. As between-group variability</t>
  </si>
  <si>
    <t xml:space="preserve">increases (assuming the within-group variability remains </t>
  </si>
  <si>
    <t xml:space="preserve">relatively constant), the F-Stat is likely to increase and </t>
  </si>
  <si>
    <t xml:space="preserve">exceed the F-Critical. Same applies with MSwithin as it </t>
  </si>
  <si>
    <t>gets smaller. Thus at least one pair of differences exists</t>
  </si>
  <si>
    <t xml:space="preserve">between the amount of shots accuracy taken by the </t>
  </si>
  <si>
    <t>groups of teams.</t>
  </si>
  <si>
    <t>p&lt;0.05</t>
  </si>
  <si>
    <t>The 3 groups of teams shoot similarly efficient</t>
  </si>
  <si>
    <t xml:space="preserve">Ha : At least one group of </t>
  </si>
  <si>
    <t xml:space="preserve">teams has significant </t>
  </si>
  <si>
    <t>different GF to S</t>
  </si>
  <si>
    <t>The group of teams will shoot more or less</t>
  </si>
  <si>
    <t>accurate at least one team over another</t>
  </si>
  <si>
    <t>Goal scoring percentage</t>
  </si>
  <si>
    <t>Points gained of being accurate to scoring in terms of shots taken</t>
  </si>
  <si>
    <t xml:space="preserve">Goal to Shot accuracy has a significant impact on the ability of teams to gain points </t>
  </si>
  <si>
    <t>57% of the differences between goals to shots accuracy can be explained</t>
  </si>
  <si>
    <t>by the different treatment. The other 43% is unexplained.</t>
  </si>
  <si>
    <t>and finish higher on the league. The distance is big enough between the sample means (between-group variability)</t>
  </si>
  <si>
    <t>Very Large</t>
  </si>
  <si>
    <t xml:space="preserve">for multi comparisons test </t>
  </si>
  <si>
    <t>Cohen's d measure of effect size</t>
  </si>
  <si>
    <t>Fig.1 Explain</t>
  </si>
  <si>
    <t>Fig.2 Explain</t>
  </si>
  <si>
    <t>Fig.3 Explain</t>
  </si>
  <si>
    <t>n Square (n2)</t>
  </si>
  <si>
    <t xml:space="preserve">If n2 = 0, this means that all group means are exactly the same. </t>
  </si>
  <si>
    <t xml:space="preserve">If n2 = 1, this means that between group variability equals the total </t>
  </si>
  <si>
    <t>variability meaning that there is no within group variability.</t>
  </si>
  <si>
    <t>relative to the variability that is smaller (within-group variability) for each group of teams. The effect size (using Cohen's d)</t>
  </si>
  <si>
    <t>on Top 4 and Bottom 4 team groups is very large and there is no problem of detecting that there is a consistent shot accuracy</t>
  </si>
  <si>
    <t>difference on average. That can also be explained by their related 95% confidence intervals range. A smaller effect applies on Top 4</t>
  </si>
  <si>
    <t>Hypothesis testing Significance of bx2, Fig.1 Explain and Fig.2 Explain above</t>
  </si>
  <si>
    <t>Hypothesis testing Significance of bx2, Fig.3 Explain above</t>
  </si>
  <si>
    <t>We have an n Square 57% that falls in the middle. Thus it does not explain substantially that the differences of the dependent variable</t>
  </si>
  <si>
    <t>are due to the independent variable. It can be seen as a benchmark but does not explain the full story of each team league position.</t>
  </si>
  <si>
    <t>would have been appeared.</t>
  </si>
  <si>
    <t>The proportion of the variance is explained by the difference in GF to S.</t>
  </si>
  <si>
    <t>Not suitable to perform as we do not have groups of equal sizes.</t>
  </si>
  <si>
    <t>We considered an offensive attribute (GF to S) while also a defensive one would be needed. For ex. Verona (10th in the league) shows the highest</t>
  </si>
  <si>
    <t>GF to S among all teams and Genoa (14th) had a GF to S higher than Inter who finished 5th in the league. However Verona had the weakest</t>
  </si>
  <si>
    <t>defense in the league while Genoa conceded 11 goals more than Inter.</t>
  </si>
  <si>
    <t>and Middle 12 as the league points difference is marginally smaller than on Top 4 and Bottom 4 pair. The Middle 12 having a lower effect size</t>
  </si>
  <si>
    <t xml:space="preserve">with Top 4 group rather than the Bottom 4 induces that the Serie A league is competitive. These between and within group differences </t>
  </si>
  <si>
    <t xml:space="preserve">can also be seen  on the chart on the right upper hand side where we compare the league points (independent) to the GF to S (dependent). </t>
  </si>
  <si>
    <t>We might had measured the ratio of each team goals scoring to shots on target rather than the overall shots as higher and more explained ratios</t>
  </si>
  <si>
    <t>One-Way ANOVA (If goal scoring percentage is a big factor for eact team's final league position)</t>
  </si>
  <si>
    <t>Correlation - Multiple Regression (Which factors best explains each team's final awarded points)</t>
  </si>
  <si>
    <t>relative to the GA Avg (x-axis). Based on the teams mentioned in Fig. 1, Juventus, Genoa and Inter tendency of outliers</t>
  </si>
  <si>
    <t>more than 100 points in total and the unlikelyhood of not conceiving a goal, the difference</t>
  </si>
  <si>
    <t>they finished as champions earning also 15 points higher than the predicted (Y-hat),</t>
  </si>
  <si>
    <t>that by viewing the charts from distance rather than zooming in, middle teams seem they "overlap".</t>
  </si>
  <si>
    <t>From Fig.2 and Fig. 3 one can observe how close to each other are the teams who finished on the middle of the table</t>
  </si>
  <si>
    <t xml:space="preserve">These data GA Avg to Points are purely correlational, we cannot make causal statements. </t>
  </si>
  <si>
    <t>We rejected the null hypothesis. The more categories we have, the more df and the larger the chi-squared stat will be.</t>
  </si>
  <si>
    <t xml:space="preserve">We might assume that each betting company has different resources and way of evaluating the chances of a team drawing at home. </t>
  </si>
  <si>
    <t>Chi2 distributions are positively skewed, with the degree of skew decreasing with increasing df.  As the df increases, the Chi2 dist. approaches a normal dist.</t>
  </si>
  <si>
    <t>Note: Had to turn values to positive to</t>
  </si>
  <si>
    <t xml:space="preserve">enable me having a clear boxplot range </t>
  </si>
  <si>
    <t>of values.</t>
  </si>
  <si>
    <t>On columns V:AD, I sorted the data to</t>
  </si>
  <si>
    <t>crosscheck the above quartile values.</t>
  </si>
  <si>
    <t>The probability of getting this T-stat, the prob. of getting this sample mean from a population with mean of 0.13 is not small.</t>
  </si>
  <si>
    <t>in terms of the sample standard deviation.</t>
  </si>
  <si>
    <t>On the other hand we could conduct the same hypothesis for goals each of these two teams were conceding to see significant differences in defensive performance.</t>
  </si>
  <si>
    <t>Independent samples experimental t-test taken from two different groups with equal sizes</t>
  </si>
  <si>
    <t>We fail to reject the null hypothesis as our t-stat is small and does not exceed the t-critical value. T-stat falls in the center of the distribution.</t>
  </si>
  <si>
    <t>r-squared and tells us that only 4% of the differences in goal scores are due to teams striking performance on the field.</t>
  </si>
  <si>
    <t>Residuals</t>
  </si>
  <si>
    <t xml:space="preserve">Livorno's strong effort to remain on the first league division was not enough as the follow three teams also showed a positive residual. </t>
  </si>
  <si>
    <t xml:space="preserve">Inter which was close to x=1 earned nine less points, quite a considerable loss in football. </t>
  </si>
  <si>
    <t>Inter scores more than Milan on average mean diff. of 0.51</t>
  </si>
  <si>
    <t>Inter scores less than Milan on average mean diff. of 0.51</t>
  </si>
  <si>
    <t>can be related to the type of betting company and how confident is each one for the final result ?</t>
  </si>
  <si>
    <t>In addition we fail to reject the null for hypothesized mean differences higher than 0 assuming Inter scoring mean is higher than Milan's.</t>
  </si>
  <si>
    <t>That explains also the low R Square of 4% we received.</t>
  </si>
  <si>
    <t>Based on our samples, there is no any significant difference that we will predict that Milan scored similar to more amount of goals than Inter.</t>
  </si>
  <si>
    <t xml:space="preserve">In addition we are not aware of each betting company's internal algorithms, software systems, as well as the internal and external factors of a single game. </t>
  </si>
  <si>
    <t>on the league table, did a goal scored by Inter or otherwise a mean difference of 0.51 made the difference</t>
  </si>
  <si>
    <t>As we conduct a study for Serie A 2013-2014, has the home team performance this season changed significantly this year relatively</t>
  </si>
  <si>
    <t>to the previous season 2012-2013 in terms of winning success rate ?</t>
  </si>
  <si>
    <t>drawing score level amount is related to Milan's tendency to draw or not the game at home).</t>
  </si>
  <si>
    <t>We might say though that during Milan's four draws on the season 2013-2014, the betting companies predictions were close to equal to each other. Therefore we could say</t>
  </si>
  <si>
    <t>that during these four games, all five betting companies had a similar to equal level of optimism for a drawing result.</t>
  </si>
  <si>
    <t>The Cramer's V effect size result reveal that a betting company was a significant factor in determining Milan's home chances to draw.</t>
  </si>
  <si>
    <t xml:space="preserve">On the chart on the left upper hand side (i.e. Linear Reg. Serie A GA Avg to Points Obs. vs Pred.
), </t>
  </si>
  <si>
    <t>On the chart on the left hand side (i.e.Semi-Linear Reg. Serie A GA Avg to Points Obs. vs Pred.
),</t>
  </si>
  <si>
    <t xml:space="preserve">On the charts on the left upper hand side (i.e.Multi Reg. Serie A League Position to Points Obs. vs Pred., Points Residual Plot),
</t>
  </si>
  <si>
    <t>BbMx&gt;2.5</t>
  </si>
  <si>
    <t>BbAv&gt;2.5</t>
  </si>
  <si>
    <t>BbMx&lt;2.5</t>
  </si>
  <si>
    <t>BbAv&lt;2.5</t>
  </si>
</sst>
</file>

<file path=xl/styles.xml><?xml version="1.0" encoding="utf-8"?>
<styleSheet xmlns="http://schemas.openxmlformats.org/spreadsheetml/2006/main">
  <numFmts count="6">
    <numFmt numFmtId="164" formatCode="0.000"/>
    <numFmt numFmtId="165" formatCode="0_ ;[Red]\-0\ "/>
    <numFmt numFmtId="166" formatCode="0.0000"/>
    <numFmt numFmtId="167" formatCode="0.00000"/>
    <numFmt numFmtId="168" formatCode="0.000_ ;[Red]\-0.000\ "/>
    <numFmt numFmtId="169" formatCode="0.0000000"/>
  </numFmts>
  <fonts count="1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FFFFF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1" fillId="5" borderId="0" xfId="0" applyFont="1" applyFill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3" borderId="0" xfId="0" applyFill="1"/>
    <xf numFmtId="0" fontId="0" fillId="6" borderId="0" xfId="0" applyFill="1"/>
    <xf numFmtId="0" fontId="1" fillId="7" borderId="0" xfId="0" applyFont="1" applyFill="1" applyAlignment="1">
      <alignment horizontal="centerContinuous"/>
    </xf>
    <xf numFmtId="0" fontId="0" fillId="0" borderId="0" xfId="0" applyFill="1" applyAlignment="1">
      <alignment horizontal="right"/>
    </xf>
    <xf numFmtId="2" fontId="2" fillId="0" borderId="0" xfId="0" applyNumberFormat="1" applyFont="1"/>
    <xf numFmtId="0" fontId="2" fillId="0" borderId="0" xfId="0" applyFont="1"/>
    <xf numFmtId="0" fontId="0" fillId="8" borderId="0" xfId="0" applyFill="1"/>
    <xf numFmtId="0" fontId="6" fillId="0" borderId="0" xfId="0" applyFont="1"/>
    <xf numFmtId="0" fontId="1" fillId="2" borderId="0" xfId="0" applyFont="1" applyFill="1" applyAlignment="1">
      <alignment horizontal="centerContinuous"/>
    </xf>
    <xf numFmtId="0" fontId="0" fillId="0" borderId="0" xfId="0" applyFill="1" applyBorder="1" applyAlignment="1"/>
    <xf numFmtId="0" fontId="0" fillId="0" borderId="1" xfId="0" applyFill="1" applyBorder="1" applyAlignment="1"/>
    <xf numFmtId="0" fontId="6" fillId="0" borderId="2" xfId="0" applyFont="1" applyFill="1" applyBorder="1" applyAlignment="1">
      <alignment horizontal="center"/>
    </xf>
    <xf numFmtId="0" fontId="5" fillId="3" borderId="0" xfId="0" applyFont="1" applyFill="1"/>
    <xf numFmtId="0" fontId="0" fillId="9" borderId="0" xfId="0" applyFill="1" applyAlignment="1">
      <alignment horizontal="left"/>
    </xf>
    <xf numFmtId="0" fontId="2" fillId="0" borderId="0" xfId="0" applyFont="1" applyFill="1" applyBorder="1" applyAlignment="1"/>
    <xf numFmtId="0" fontId="2" fillId="0" borderId="1" xfId="0" applyFont="1" applyFill="1" applyBorder="1" applyAlignment="1"/>
    <xf numFmtId="0" fontId="8" fillId="0" borderId="0" xfId="0" applyFont="1" applyFill="1" applyBorder="1" applyAlignment="1"/>
    <xf numFmtId="0" fontId="8" fillId="0" borderId="1" xfId="0" applyFont="1" applyFill="1" applyBorder="1" applyAlignment="1"/>
    <xf numFmtId="0" fontId="6" fillId="0" borderId="2" xfId="0" applyFont="1" applyFill="1" applyBorder="1" applyAlignment="1">
      <alignment horizontal="centerContinuous"/>
    </xf>
    <xf numFmtId="0" fontId="0" fillId="9" borderId="0" xfId="0" applyFill="1"/>
    <xf numFmtId="0" fontId="5" fillId="11" borderId="0" xfId="0" applyFont="1" applyFill="1" applyAlignment="1">
      <alignment horizontal="centerContinuous"/>
    </xf>
    <xf numFmtId="2" fontId="0" fillId="3" borderId="0" xfId="0" applyNumberFormat="1" applyFill="1"/>
    <xf numFmtId="0" fontId="0" fillId="11" borderId="0" xfId="0" applyFill="1"/>
    <xf numFmtId="2" fontId="0" fillId="6" borderId="0" xfId="0" applyNumberFormat="1" applyFill="1"/>
    <xf numFmtId="0" fontId="9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10" fillId="10" borderId="0" xfId="0" applyFont="1" applyFill="1"/>
    <xf numFmtId="0" fontId="5" fillId="12" borderId="0" xfId="0" applyFont="1" applyFill="1" applyAlignment="1">
      <alignment horizontal="centerContinuous"/>
    </xf>
    <xf numFmtId="10" fontId="0" fillId="0" borderId="0" xfId="0" applyNumberFormat="1"/>
    <xf numFmtId="0" fontId="0" fillId="0" borderId="0" xfId="0" applyAlignment="1">
      <alignment horizontal="right"/>
    </xf>
    <xf numFmtId="0" fontId="0" fillId="0" borderId="0" xfId="0" applyFill="1"/>
    <xf numFmtId="0" fontId="12" fillId="0" borderId="0" xfId="0" applyFont="1"/>
    <xf numFmtId="0" fontId="13" fillId="0" borderId="0" xfId="0" applyFont="1"/>
    <xf numFmtId="2" fontId="13" fillId="0" borderId="0" xfId="0" applyNumberFormat="1" applyFont="1"/>
    <xf numFmtId="0" fontId="0" fillId="13" borderId="0" xfId="0" applyFill="1" applyAlignment="1">
      <alignment horizontal="center"/>
    </xf>
    <xf numFmtId="165" fontId="0" fillId="0" borderId="0" xfId="0" applyNumberFormat="1"/>
    <xf numFmtId="0" fontId="0" fillId="0" borderId="0" xfId="0" applyBorder="1"/>
    <xf numFmtId="164" fontId="0" fillId="0" borderId="0" xfId="0" applyNumberFormat="1" applyBorder="1"/>
    <xf numFmtId="0" fontId="11" fillId="0" borderId="0" xfId="0" applyFont="1"/>
    <xf numFmtId="0" fontId="11" fillId="0" borderId="0" xfId="0" applyFont="1" applyBorder="1"/>
    <xf numFmtId="0" fontId="14" fillId="0" borderId="0" xfId="0" applyFont="1" applyBorder="1"/>
    <xf numFmtId="166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/>
    <xf numFmtId="0" fontId="5" fillId="0" borderId="0" xfId="0" applyFont="1" applyAlignment="1">
      <alignment horizontal="left"/>
    </xf>
    <xf numFmtId="0" fontId="0" fillId="0" borderId="0" xfId="0" applyFill="1" applyAlignment="1">
      <alignment horizontal="left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Continuous"/>
    </xf>
    <xf numFmtId="0" fontId="0" fillId="0" borderId="0" xfId="0" applyBorder="1" applyAlignment="1">
      <alignment horizontal="center"/>
    </xf>
    <xf numFmtId="0" fontId="0" fillId="0" borderId="0" xfId="0" applyAlignment="1"/>
    <xf numFmtId="2" fontId="0" fillId="14" borderId="0" xfId="0" applyNumberFormat="1" applyFill="1"/>
    <xf numFmtId="0" fontId="0" fillId="14" borderId="0" xfId="0" applyFill="1"/>
    <xf numFmtId="0" fontId="9" fillId="0" borderId="0" xfId="0" applyFont="1"/>
    <xf numFmtId="0" fontId="9" fillId="0" borderId="0" xfId="0" applyFont="1" applyFill="1" applyBorder="1" applyAlignment="1"/>
    <xf numFmtId="0" fontId="9" fillId="0" borderId="1" xfId="0" applyFont="1" applyFill="1" applyBorder="1" applyAlignment="1"/>
    <xf numFmtId="0" fontId="15" fillId="0" borderId="2" xfId="0" applyFont="1" applyFill="1" applyBorder="1" applyAlignment="1">
      <alignment horizontal="center"/>
    </xf>
    <xf numFmtId="167" fontId="0" fillId="0" borderId="0" xfId="0" applyNumberFormat="1"/>
    <xf numFmtId="0" fontId="0" fillId="15" borderId="0" xfId="0" applyFill="1"/>
    <xf numFmtId="0" fontId="9" fillId="0" borderId="0" xfId="0" applyFont="1" applyAlignment="1">
      <alignment horizontal="center"/>
    </xf>
    <xf numFmtId="0" fontId="16" fillId="0" borderId="0" xfId="0" applyFont="1"/>
    <xf numFmtId="2" fontId="16" fillId="0" borderId="0" xfId="0" applyNumberFormat="1" applyFont="1" applyAlignment="1">
      <alignment horizontal="center"/>
    </xf>
    <xf numFmtId="0" fontId="17" fillId="0" borderId="0" xfId="0" applyFont="1"/>
    <xf numFmtId="0" fontId="6" fillId="6" borderId="0" xfId="0" applyFont="1" applyFill="1" applyBorder="1" applyAlignment="1">
      <alignment horizontal="center"/>
    </xf>
    <xf numFmtId="168" fontId="0" fillId="6" borderId="0" xfId="0" applyNumberFormat="1" applyFill="1" applyBorder="1" applyAlignment="1"/>
    <xf numFmtId="0" fontId="1" fillId="0" borderId="0" xfId="0" applyFont="1" applyFill="1"/>
    <xf numFmtId="0" fontId="0" fillId="0" borderId="0" xfId="0" applyAlignment="1">
      <alignment horizontal="centerContinuous"/>
    </xf>
    <xf numFmtId="169" fontId="0" fillId="0" borderId="0" xfId="0" applyNumberFormat="1"/>
    <xf numFmtId="0" fontId="5" fillId="0" borderId="0" xfId="0" applyFont="1" applyFill="1" applyAlignment="1">
      <alignment horizontal="centerContinuous"/>
    </xf>
    <xf numFmtId="14" fontId="0" fillId="0" borderId="0" xfId="0" applyNumberFormat="1"/>
    <xf numFmtId="0" fontId="18" fillId="4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99"/>
      <color rgb="FFFFFF66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 sz="1200"/>
              <a:t>Fig. 1a : Multi Reg. Serie</a:t>
            </a:r>
            <a:r>
              <a:rPr lang="en-GB" sz="1200" baseline="0"/>
              <a:t> A League Position to Points Obs. vs Pred.</a:t>
            </a:r>
            <a:endParaRPr lang="en-GB" sz="1200"/>
          </a:p>
        </c:rich>
      </c:tx>
      <c:layout>
        <c:manualLayout>
          <c:xMode val="edge"/>
          <c:yMode val="edge"/>
          <c:x val="0.20144444444444537"/>
          <c:y val="2.777777777777795E-2"/>
        </c:manualLayout>
      </c:layout>
    </c:title>
    <c:plotArea>
      <c:layout/>
      <c:scatterChart>
        <c:scatterStyle val="lineMarker"/>
        <c:ser>
          <c:idx val="0"/>
          <c:order val="0"/>
          <c:tx>
            <c:v>predicted_line</c:v>
          </c:tx>
          <c:spPr>
            <a:ln w="28575">
              <a:noFill/>
            </a:ln>
          </c:spPr>
          <c:trendline>
            <c:spPr>
              <a:ln cmpd="sng">
                <a:solidFill>
                  <a:srgbClr val="0070C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10182684118127641"/>
                  <c:y val="2.7931238324939225E-2"/>
                </c:manualLayout>
              </c:layout>
              <c:numFmt formatCode="General" sourceLinked="0"/>
            </c:trendlineLbl>
          </c:trendline>
          <c:yVal>
            <c:numRef>
              <c:f>CorrelReg!$H$6:$H$25</c:f>
              <c:numCache>
                <c:formatCode>0.00</c:formatCode>
                <c:ptCount val="20"/>
                <c:pt idx="0">
                  <c:v>93.165165842534279</c:v>
                </c:pt>
                <c:pt idx="1">
                  <c:v>81.228413874526154</c:v>
                </c:pt>
                <c:pt idx="2">
                  <c:v>75.412509019229105</c:v>
                </c:pt>
                <c:pt idx="3">
                  <c:v>61.865133441957347</c:v>
                </c:pt>
                <c:pt idx="4">
                  <c:v>71.529380742320853</c:v>
                </c:pt>
                <c:pt idx="5">
                  <c:v>61.505382353211893</c:v>
                </c:pt>
                <c:pt idx="6">
                  <c:v>57.054358865718896</c:v>
                </c:pt>
                <c:pt idx="7">
                  <c:v>53.635249627360594</c:v>
                </c:pt>
                <c:pt idx="8">
                  <c:v>53.939995429569535</c:v>
                </c:pt>
                <c:pt idx="9">
                  <c:v>54.954463690521209</c:v>
                </c:pt>
                <c:pt idx="10">
                  <c:v>52.059076797536676</c:v>
                </c:pt>
                <c:pt idx="11">
                  <c:v>40.694011628986303</c:v>
                </c:pt>
                <c:pt idx="12">
                  <c:v>47.361047636342938</c:v>
                </c:pt>
                <c:pt idx="13">
                  <c:v>55.833881307757267</c:v>
                </c:pt>
                <c:pt idx="14">
                  <c:v>38.094278660417608</c:v>
                </c:pt>
                <c:pt idx="15">
                  <c:v>41.546834358490521</c:v>
                </c:pt>
                <c:pt idx="16">
                  <c:v>30.842970682409508</c:v>
                </c:pt>
                <c:pt idx="17">
                  <c:v>31.133663238013213</c:v>
                </c:pt>
                <c:pt idx="18">
                  <c:v>29.179739181865912</c:v>
                </c:pt>
                <c:pt idx="19">
                  <c:v>18.964443621230558</c:v>
                </c:pt>
              </c:numCache>
            </c:numRef>
          </c:yVal>
        </c:ser>
        <c:ser>
          <c:idx val="1"/>
          <c:order val="1"/>
          <c:tx>
            <c:v>upper_CI</c:v>
          </c:tx>
          <c:spPr>
            <a:ln w="28575" cmpd="dbl">
              <a:noFill/>
              <a:prstDash val="sysDash"/>
            </a:ln>
          </c:spPr>
          <c:marker>
            <c:spPr>
              <a:solidFill>
                <a:srgbClr val="C0504D">
                  <a:alpha val="39000"/>
                </a:srgbClr>
              </a:solidFill>
            </c:spPr>
          </c:marker>
          <c:yVal>
            <c:numRef>
              <c:f>CorrelReg!$I$6:$I$25</c:f>
              <c:numCache>
                <c:formatCode>0.00</c:formatCode>
                <c:ptCount val="20"/>
                <c:pt idx="0">
                  <c:v>96.256116270508002</c:v>
                </c:pt>
                <c:pt idx="1">
                  <c:v>84.319364302499878</c:v>
                </c:pt>
                <c:pt idx="2">
                  <c:v>78.503459447202829</c:v>
                </c:pt>
                <c:pt idx="3">
                  <c:v>64.956083869931078</c:v>
                </c:pt>
                <c:pt idx="4">
                  <c:v>74.620331170294577</c:v>
                </c:pt>
                <c:pt idx="5">
                  <c:v>64.596332781185623</c:v>
                </c:pt>
                <c:pt idx="6">
                  <c:v>60.145309293692627</c:v>
                </c:pt>
                <c:pt idx="7">
                  <c:v>56.726200055334324</c:v>
                </c:pt>
                <c:pt idx="8">
                  <c:v>57.030945857543266</c:v>
                </c:pt>
                <c:pt idx="9">
                  <c:v>58.045414118494939</c:v>
                </c:pt>
                <c:pt idx="10">
                  <c:v>55.150027225510406</c:v>
                </c:pt>
                <c:pt idx="11">
                  <c:v>43.784962056960033</c:v>
                </c:pt>
                <c:pt idx="12">
                  <c:v>50.451998064316669</c:v>
                </c:pt>
                <c:pt idx="13">
                  <c:v>58.924831735730997</c:v>
                </c:pt>
                <c:pt idx="14">
                  <c:v>41.185229088391338</c:v>
                </c:pt>
                <c:pt idx="15">
                  <c:v>44.637784786464252</c:v>
                </c:pt>
                <c:pt idx="16">
                  <c:v>33.933921110383238</c:v>
                </c:pt>
                <c:pt idx="17">
                  <c:v>34.224613665986944</c:v>
                </c:pt>
                <c:pt idx="18">
                  <c:v>32.270689609839643</c:v>
                </c:pt>
                <c:pt idx="19">
                  <c:v>22.055394049204288</c:v>
                </c:pt>
              </c:numCache>
            </c:numRef>
          </c:yVal>
        </c:ser>
        <c:ser>
          <c:idx val="2"/>
          <c:order val="2"/>
          <c:tx>
            <c:v>lower_CI</c:v>
          </c:tx>
          <c:spPr>
            <a:ln w="28575" cmpd="dbl">
              <a:noFill/>
              <a:prstDash val="sysDash"/>
            </a:ln>
          </c:spPr>
          <c:yVal>
            <c:numRef>
              <c:f>CorrelReg!$J$6:$J$25</c:f>
              <c:numCache>
                <c:formatCode>0.00</c:formatCode>
                <c:ptCount val="20"/>
                <c:pt idx="0">
                  <c:v>90.074215414560555</c:v>
                </c:pt>
                <c:pt idx="1">
                  <c:v>78.137463446552431</c:v>
                </c:pt>
                <c:pt idx="2">
                  <c:v>72.321558591255382</c:v>
                </c:pt>
                <c:pt idx="3">
                  <c:v>58.774183013983617</c:v>
                </c:pt>
                <c:pt idx="4">
                  <c:v>68.43843031434713</c:v>
                </c:pt>
                <c:pt idx="5">
                  <c:v>58.414431925238162</c:v>
                </c:pt>
                <c:pt idx="6">
                  <c:v>53.963408437745166</c:v>
                </c:pt>
                <c:pt idx="7">
                  <c:v>50.544299199386863</c:v>
                </c:pt>
                <c:pt idx="8">
                  <c:v>50.849045001595805</c:v>
                </c:pt>
                <c:pt idx="9">
                  <c:v>51.863513262547478</c:v>
                </c:pt>
                <c:pt idx="10">
                  <c:v>48.968126369562945</c:v>
                </c:pt>
                <c:pt idx="11">
                  <c:v>37.603061201012572</c:v>
                </c:pt>
                <c:pt idx="12">
                  <c:v>44.270097208369208</c:v>
                </c:pt>
                <c:pt idx="13">
                  <c:v>52.742930879783536</c:v>
                </c:pt>
                <c:pt idx="14">
                  <c:v>35.003328232443877</c:v>
                </c:pt>
                <c:pt idx="15">
                  <c:v>38.455883930516791</c:v>
                </c:pt>
                <c:pt idx="16">
                  <c:v>27.752020254435777</c:v>
                </c:pt>
                <c:pt idx="17">
                  <c:v>28.042712810039482</c:v>
                </c:pt>
                <c:pt idx="18">
                  <c:v>26.088788753892182</c:v>
                </c:pt>
                <c:pt idx="19">
                  <c:v>15.873493193256829</c:v>
                </c:pt>
              </c:numCache>
            </c:numRef>
          </c:yVal>
        </c:ser>
        <c:ser>
          <c:idx val="3"/>
          <c:order val="3"/>
          <c:tx>
            <c:v>raw_data</c:v>
          </c:tx>
          <c:spPr>
            <a:ln w="28575">
              <a:noFill/>
            </a:ln>
          </c:spPr>
          <c:marker>
            <c:symbol val="star"/>
            <c:size val="7"/>
          </c:marker>
          <c:dPt>
            <c:idx val="0"/>
            <c:marker>
              <c:spPr>
                <a:solidFill>
                  <a:srgbClr val="002060"/>
                </a:solidFill>
              </c:spPr>
            </c:marker>
          </c:dPt>
          <c:dPt>
            <c:idx val="4"/>
            <c:marker>
              <c:spPr>
                <a:solidFill>
                  <a:srgbClr val="FFC000"/>
                </a:solidFill>
              </c:spPr>
            </c:marker>
          </c:dPt>
          <c:dPt>
            <c:idx val="13"/>
            <c:marker>
              <c:spPr>
                <a:solidFill>
                  <a:srgbClr val="FFC000"/>
                </a:solidFill>
              </c:spPr>
            </c:marker>
          </c:dPt>
          <c:dPt>
            <c:idx val="19"/>
            <c:marker>
              <c:spPr>
                <a:solidFill>
                  <a:schemeClr val="accent2">
                    <a:lumMod val="75000"/>
                  </a:schemeClr>
                </a:solidFill>
              </c:spPr>
            </c:marker>
          </c:dPt>
          <c:yVal>
            <c:numRef>
              <c:f>CorrelReg!$B$6:$B$25</c:f>
              <c:numCache>
                <c:formatCode>General</c:formatCode>
                <c:ptCount val="20"/>
                <c:pt idx="0">
                  <c:v>102</c:v>
                </c:pt>
                <c:pt idx="1">
                  <c:v>85</c:v>
                </c:pt>
                <c:pt idx="2">
                  <c:v>78</c:v>
                </c:pt>
                <c:pt idx="3">
                  <c:v>65</c:v>
                </c:pt>
                <c:pt idx="4">
                  <c:v>60</c:v>
                </c:pt>
                <c:pt idx="5">
                  <c:v>58</c:v>
                </c:pt>
                <c:pt idx="6">
                  <c:v>57</c:v>
                </c:pt>
                <c:pt idx="7">
                  <c:v>57</c:v>
                </c:pt>
                <c:pt idx="8">
                  <c:v>56</c:v>
                </c:pt>
                <c:pt idx="9">
                  <c:v>54</c:v>
                </c:pt>
                <c:pt idx="10">
                  <c:v>50</c:v>
                </c:pt>
                <c:pt idx="11">
                  <c:v>45</c:v>
                </c:pt>
                <c:pt idx="12">
                  <c:v>44</c:v>
                </c:pt>
                <c:pt idx="13">
                  <c:v>44</c:v>
                </c:pt>
                <c:pt idx="14">
                  <c:v>39</c:v>
                </c:pt>
                <c:pt idx="15">
                  <c:v>36</c:v>
                </c:pt>
                <c:pt idx="16">
                  <c:v>34</c:v>
                </c:pt>
                <c:pt idx="17">
                  <c:v>32</c:v>
                </c:pt>
                <c:pt idx="18">
                  <c:v>29</c:v>
                </c:pt>
                <c:pt idx="19">
                  <c:v>25</c:v>
                </c:pt>
              </c:numCache>
            </c:numRef>
          </c:yVal>
        </c:ser>
        <c:axId val="145965824"/>
        <c:axId val="145967744"/>
      </c:scatterChart>
      <c:valAx>
        <c:axId val="145965824"/>
        <c:scaling>
          <c:orientation val="minMax"/>
          <c:max val="2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League Position</a:t>
                </a:r>
              </a:p>
            </c:rich>
          </c:tx>
          <c:layout/>
        </c:title>
        <c:tickLblPos val="nextTo"/>
        <c:crossAx val="145967744"/>
        <c:crosses val="autoZero"/>
        <c:crossBetween val="midCat"/>
        <c:majorUnit val="2"/>
      </c:valAx>
      <c:valAx>
        <c:axId val="145967744"/>
        <c:scaling>
          <c:orientation val="minMax"/>
          <c:max val="110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Points</a:t>
                </a:r>
              </a:p>
            </c:rich>
          </c:tx>
          <c:layout/>
        </c:title>
        <c:numFmt formatCode="0" sourceLinked="0"/>
        <c:tickLblPos val="nextTo"/>
        <c:crossAx val="145965824"/>
        <c:crosses val="autoZero"/>
        <c:crossBetween val="midCat"/>
        <c:majorUnit val="10"/>
      </c:valAx>
      <c:spPr>
        <a:noFill/>
        <a:ln w="25400">
          <a:noFill/>
        </a:ln>
      </c:spPr>
    </c:plotArea>
    <c:legend>
      <c:legendPos val="r"/>
      <c:layout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 sz="1200" b="1" i="0" u="none" strike="noStrike" baseline="0"/>
              <a:t>Fig. 2 : </a:t>
            </a:r>
            <a:r>
              <a:rPr lang="en-GB" sz="1200"/>
              <a:t>Semi-Linear Reg. Serie</a:t>
            </a:r>
            <a:r>
              <a:rPr lang="en-GB" sz="1200" baseline="0"/>
              <a:t> A GA Avg to Points Obs. vs Pred.</a:t>
            </a:r>
            <a:endParaRPr lang="en-GB" sz="1200"/>
          </a:p>
        </c:rich>
      </c:tx>
      <c:layout>
        <c:manualLayout>
          <c:xMode val="edge"/>
          <c:yMode val="edge"/>
          <c:x val="0.20144444444444562"/>
          <c:y val="2.7777777777778002E-2"/>
        </c:manualLayout>
      </c:layout>
    </c:title>
    <c:plotArea>
      <c:layout/>
      <c:scatterChart>
        <c:scatterStyle val="lineMarker"/>
        <c:ser>
          <c:idx val="0"/>
          <c:order val="0"/>
          <c:tx>
            <c:v>predicted_line</c:v>
          </c:tx>
          <c:spPr>
            <a:ln w="28575">
              <a:noFill/>
            </a:ln>
          </c:spPr>
          <c:trendline>
            <c:spPr>
              <a:ln cmpd="sng">
                <a:solidFill>
                  <a:srgbClr val="0070C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10182684118127652"/>
                  <c:y val="2.793123832493926E-2"/>
                </c:manualLayout>
              </c:layout>
              <c:numFmt formatCode="General" sourceLinked="0"/>
            </c:trendlineLbl>
          </c:trendline>
          <c:xVal>
            <c:numRef>
              <c:f>CorrelReg!$C$6:$C$25</c:f>
              <c:numCache>
                <c:formatCode>0.00</c:formatCode>
                <c:ptCount val="20"/>
                <c:pt idx="0">
                  <c:v>0.60526315789473684</c:v>
                </c:pt>
                <c:pt idx="1">
                  <c:v>0.65789473684210531</c:v>
                </c:pt>
                <c:pt idx="2">
                  <c:v>1.0263157894736843</c:v>
                </c:pt>
                <c:pt idx="3">
                  <c:v>1.1578947368421053</c:v>
                </c:pt>
                <c:pt idx="4">
                  <c:v>1.0263157894736843</c:v>
                </c:pt>
                <c:pt idx="5">
                  <c:v>1.2105263157894737</c:v>
                </c:pt>
                <c:pt idx="6">
                  <c:v>1.263157894736842</c:v>
                </c:pt>
                <c:pt idx="7">
                  <c:v>1.2894736842105263</c:v>
                </c:pt>
                <c:pt idx="8">
                  <c:v>1.4210526315789473</c:v>
                </c:pt>
                <c:pt idx="9">
                  <c:v>1.7894736842105263</c:v>
                </c:pt>
                <c:pt idx="10">
                  <c:v>1.3421052631578947</c:v>
                </c:pt>
                <c:pt idx="11">
                  <c:v>1.631578947368421</c:v>
                </c:pt>
                <c:pt idx="12">
                  <c:v>1.5</c:v>
                </c:pt>
                <c:pt idx="13">
                  <c:v>1.3157894736842106</c:v>
                </c:pt>
                <c:pt idx="14">
                  <c:v>1.3947368421052631</c:v>
                </c:pt>
                <c:pt idx="15">
                  <c:v>1.4210526315789473</c:v>
                </c:pt>
                <c:pt idx="16">
                  <c:v>1.8947368421052631</c:v>
                </c:pt>
                <c:pt idx="17">
                  <c:v>1.736842105263158</c:v>
                </c:pt>
                <c:pt idx="18">
                  <c:v>1.5263157894736843</c:v>
                </c:pt>
                <c:pt idx="19">
                  <c:v>2.0263157894736841</c:v>
                </c:pt>
              </c:numCache>
            </c:numRef>
          </c:xVal>
          <c:yVal>
            <c:numRef>
              <c:f>CorrelReg!$H$6:$H$25</c:f>
              <c:numCache>
                <c:formatCode>0.00</c:formatCode>
                <c:ptCount val="20"/>
                <c:pt idx="0">
                  <c:v>93.165165842534279</c:v>
                </c:pt>
                <c:pt idx="1">
                  <c:v>81.228413874526154</c:v>
                </c:pt>
                <c:pt idx="2">
                  <c:v>75.412509019229105</c:v>
                </c:pt>
                <c:pt idx="3">
                  <c:v>61.865133441957347</c:v>
                </c:pt>
                <c:pt idx="4">
                  <c:v>71.529380742320853</c:v>
                </c:pt>
                <c:pt idx="5">
                  <c:v>61.505382353211893</c:v>
                </c:pt>
                <c:pt idx="6">
                  <c:v>57.054358865718896</c:v>
                </c:pt>
                <c:pt idx="7">
                  <c:v>53.635249627360594</c:v>
                </c:pt>
                <c:pt idx="8">
                  <c:v>53.939995429569535</c:v>
                </c:pt>
                <c:pt idx="9">
                  <c:v>54.954463690521209</c:v>
                </c:pt>
                <c:pt idx="10">
                  <c:v>52.059076797536676</c:v>
                </c:pt>
                <c:pt idx="11">
                  <c:v>40.694011628986303</c:v>
                </c:pt>
                <c:pt idx="12">
                  <c:v>47.361047636342938</c:v>
                </c:pt>
                <c:pt idx="13">
                  <c:v>55.833881307757267</c:v>
                </c:pt>
                <c:pt idx="14">
                  <c:v>38.094278660417608</c:v>
                </c:pt>
                <c:pt idx="15">
                  <c:v>41.546834358490521</c:v>
                </c:pt>
                <c:pt idx="16">
                  <c:v>30.842970682409508</c:v>
                </c:pt>
                <c:pt idx="17">
                  <c:v>31.133663238013213</c:v>
                </c:pt>
                <c:pt idx="18">
                  <c:v>29.179739181865912</c:v>
                </c:pt>
                <c:pt idx="19">
                  <c:v>18.964443621230558</c:v>
                </c:pt>
              </c:numCache>
            </c:numRef>
          </c:yVal>
        </c:ser>
        <c:ser>
          <c:idx val="1"/>
          <c:order val="1"/>
          <c:tx>
            <c:v>upper_CI</c:v>
          </c:tx>
          <c:spPr>
            <a:ln w="28575" cmpd="dbl">
              <a:noFill/>
              <a:prstDash val="sysDash"/>
            </a:ln>
          </c:spPr>
          <c:marker>
            <c:spPr>
              <a:solidFill>
                <a:srgbClr val="C0504D">
                  <a:alpha val="39000"/>
                </a:srgbClr>
              </a:solidFill>
            </c:spPr>
          </c:marker>
          <c:xVal>
            <c:numRef>
              <c:f>CorrelReg!$C$6:$C$25</c:f>
              <c:numCache>
                <c:formatCode>0.00</c:formatCode>
                <c:ptCount val="20"/>
                <c:pt idx="0">
                  <c:v>0.60526315789473684</c:v>
                </c:pt>
                <c:pt idx="1">
                  <c:v>0.65789473684210531</c:v>
                </c:pt>
                <c:pt idx="2">
                  <c:v>1.0263157894736843</c:v>
                </c:pt>
                <c:pt idx="3">
                  <c:v>1.1578947368421053</c:v>
                </c:pt>
                <c:pt idx="4">
                  <c:v>1.0263157894736843</c:v>
                </c:pt>
                <c:pt idx="5">
                  <c:v>1.2105263157894737</c:v>
                </c:pt>
                <c:pt idx="6">
                  <c:v>1.263157894736842</c:v>
                </c:pt>
                <c:pt idx="7">
                  <c:v>1.2894736842105263</c:v>
                </c:pt>
                <c:pt idx="8">
                  <c:v>1.4210526315789473</c:v>
                </c:pt>
                <c:pt idx="9">
                  <c:v>1.7894736842105263</c:v>
                </c:pt>
                <c:pt idx="10">
                  <c:v>1.3421052631578947</c:v>
                </c:pt>
                <c:pt idx="11">
                  <c:v>1.631578947368421</c:v>
                </c:pt>
                <c:pt idx="12">
                  <c:v>1.5</c:v>
                </c:pt>
                <c:pt idx="13">
                  <c:v>1.3157894736842106</c:v>
                </c:pt>
                <c:pt idx="14">
                  <c:v>1.3947368421052631</c:v>
                </c:pt>
                <c:pt idx="15">
                  <c:v>1.4210526315789473</c:v>
                </c:pt>
                <c:pt idx="16">
                  <c:v>1.8947368421052631</c:v>
                </c:pt>
                <c:pt idx="17">
                  <c:v>1.736842105263158</c:v>
                </c:pt>
                <c:pt idx="18">
                  <c:v>1.5263157894736843</c:v>
                </c:pt>
                <c:pt idx="19">
                  <c:v>2.0263157894736841</c:v>
                </c:pt>
              </c:numCache>
            </c:numRef>
          </c:xVal>
          <c:yVal>
            <c:numRef>
              <c:f>CorrelReg!$I$6:$I$25</c:f>
              <c:numCache>
                <c:formatCode>0.00</c:formatCode>
                <c:ptCount val="20"/>
                <c:pt idx="0">
                  <c:v>96.256116270508002</c:v>
                </c:pt>
                <c:pt idx="1">
                  <c:v>84.319364302499878</c:v>
                </c:pt>
                <c:pt idx="2">
                  <c:v>78.503459447202829</c:v>
                </c:pt>
                <c:pt idx="3">
                  <c:v>64.956083869931078</c:v>
                </c:pt>
                <c:pt idx="4">
                  <c:v>74.620331170294577</c:v>
                </c:pt>
                <c:pt idx="5">
                  <c:v>64.596332781185623</c:v>
                </c:pt>
                <c:pt idx="6">
                  <c:v>60.145309293692627</c:v>
                </c:pt>
                <c:pt idx="7">
                  <c:v>56.726200055334324</c:v>
                </c:pt>
                <c:pt idx="8">
                  <c:v>57.030945857543266</c:v>
                </c:pt>
                <c:pt idx="9">
                  <c:v>58.045414118494939</c:v>
                </c:pt>
                <c:pt idx="10">
                  <c:v>55.150027225510406</c:v>
                </c:pt>
                <c:pt idx="11">
                  <c:v>43.784962056960033</c:v>
                </c:pt>
                <c:pt idx="12">
                  <c:v>50.451998064316669</c:v>
                </c:pt>
                <c:pt idx="13">
                  <c:v>58.924831735730997</c:v>
                </c:pt>
                <c:pt idx="14">
                  <c:v>41.185229088391338</c:v>
                </c:pt>
                <c:pt idx="15">
                  <c:v>44.637784786464252</c:v>
                </c:pt>
                <c:pt idx="16">
                  <c:v>33.933921110383238</c:v>
                </c:pt>
                <c:pt idx="17">
                  <c:v>34.224613665986944</c:v>
                </c:pt>
                <c:pt idx="18">
                  <c:v>32.270689609839643</c:v>
                </c:pt>
                <c:pt idx="19">
                  <c:v>22.055394049204288</c:v>
                </c:pt>
              </c:numCache>
            </c:numRef>
          </c:yVal>
        </c:ser>
        <c:ser>
          <c:idx val="2"/>
          <c:order val="2"/>
          <c:tx>
            <c:v>lower_CI</c:v>
          </c:tx>
          <c:spPr>
            <a:ln w="28575" cmpd="dbl">
              <a:noFill/>
              <a:prstDash val="sysDash"/>
            </a:ln>
          </c:spPr>
          <c:xVal>
            <c:numRef>
              <c:f>CorrelReg!$C$6:$C$25</c:f>
              <c:numCache>
                <c:formatCode>0.00</c:formatCode>
                <c:ptCount val="20"/>
                <c:pt idx="0">
                  <c:v>0.60526315789473684</c:v>
                </c:pt>
                <c:pt idx="1">
                  <c:v>0.65789473684210531</c:v>
                </c:pt>
                <c:pt idx="2">
                  <c:v>1.0263157894736843</c:v>
                </c:pt>
                <c:pt idx="3">
                  <c:v>1.1578947368421053</c:v>
                </c:pt>
                <c:pt idx="4">
                  <c:v>1.0263157894736843</c:v>
                </c:pt>
                <c:pt idx="5">
                  <c:v>1.2105263157894737</c:v>
                </c:pt>
                <c:pt idx="6">
                  <c:v>1.263157894736842</c:v>
                </c:pt>
                <c:pt idx="7">
                  <c:v>1.2894736842105263</c:v>
                </c:pt>
                <c:pt idx="8">
                  <c:v>1.4210526315789473</c:v>
                </c:pt>
                <c:pt idx="9">
                  <c:v>1.7894736842105263</c:v>
                </c:pt>
                <c:pt idx="10">
                  <c:v>1.3421052631578947</c:v>
                </c:pt>
                <c:pt idx="11">
                  <c:v>1.631578947368421</c:v>
                </c:pt>
                <c:pt idx="12">
                  <c:v>1.5</c:v>
                </c:pt>
                <c:pt idx="13">
                  <c:v>1.3157894736842106</c:v>
                </c:pt>
                <c:pt idx="14">
                  <c:v>1.3947368421052631</c:v>
                </c:pt>
                <c:pt idx="15">
                  <c:v>1.4210526315789473</c:v>
                </c:pt>
                <c:pt idx="16">
                  <c:v>1.8947368421052631</c:v>
                </c:pt>
                <c:pt idx="17">
                  <c:v>1.736842105263158</c:v>
                </c:pt>
                <c:pt idx="18">
                  <c:v>1.5263157894736843</c:v>
                </c:pt>
                <c:pt idx="19">
                  <c:v>2.0263157894736841</c:v>
                </c:pt>
              </c:numCache>
            </c:numRef>
          </c:xVal>
          <c:yVal>
            <c:numRef>
              <c:f>CorrelReg!$J$6:$J$25</c:f>
              <c:numCache>
                <c:formatCode>0.00</c:formatCode>
                <c:ptCount val="20"/>
                <c:pt idx="0">
                  <c:v>90.074215414560555</c:v>
                </c:pt>
                <c:pt idx="1">
                  <c:v>78.137463446552431</c:v>
                </c:pt>
                <c:pt idx="2">
                  <c:v>72.321558591255382</c:v>
                </c:pt>
                <c:pt idx="3">
                  <c:v>58.774183013983617</c:v>
                </c:pt>
                <c:pt idx="4">
                  <c:v>68.43843031434713</c:v>
                </c:pt>
                <c:pt idx="5">
                  <c:v>58.414431925238162</c:v>
                </c:pt>
                <c:pt idx="6">
                  <c:v>53.963408437745166</c:v>
                </c:pt>
                <c:pt idx="7">
                  <c:v>50.544299199386863</c:v>
                </c:pt>
                <c:pt idx="8">
                  <c:v>50.849045001595805</c:v>
                </c:pt>
                <c:pt idx="9">
                  <c:v>51.863513262547478</c:v>
                </c:pt>
                <c:pt idx="10">
                  <c:v>48.968126369562945</c:v>
                </c:pt>
                <c:pt idx="11">
                  <c:v>37.603061201012572</c:v>
                </c:pt>
                <c:pt idx="12">
                  <c:v>44.270097208369208</c:v>
                </c:pt>
                <c:pt idx="13">
                  <c:v>52.742930879783536</c:v>
                </c:pt>
                <c:pt idx="14">
                  <c:v>35.003328232443877</c:v>
                </c:pt>
                <c:pt idx="15">
                  <c:v>38.455883930516791</c:v>
                </c:pt>
                <c:pt idx="16">
                  <c:v>27.752020254435777</c:v>
                </c:pt>
                <c:pt idx="17">
                  <c:v>28.042712810039482</c:v>
                </c:pt>
                <c:pt idx="18">
                  <c:v>26.088788753892182</c:v>
                </c:pt>
                <c:pt idx="19">
                  <c:v>15.873493193256829</c:v>
                </c:pt>
              </c:numCache>
            </c:numRef>
          </c:yVal>
        </c:ser>
        <c:ser>
          <c:idx val="3"/>
          <c:order val="3"/>
          <c:tx>
            <c:v>raw_data</c:v>
          </c:tx>
          <c:spPr>
            <a:ln w="28575">
              <a:noFill/>
            </a:ln>
          </c:spPr>
          <c:marker>
            <c:symbol val="star"/>
            <c:size val="7"/>
          </c:marker>
          <c:dPt>
            <c:idx val="0"/>
            <c:marker>
              <c:spPr>
                <a:solidFill>
                  <a:srgbClr val="002060"/>
                </a:solidFill>
              </c:spPr>
            </c:marker>
          </c:dPt>
          <c:dPt>
            <c:idx val="4"/>
            <c:marker>
              <c:spPr>
                <a:solidFill>
                  <a:srgbClr val="FFC000"/>
                </a:solidFill>
              </c:spPr>
            </c:marker>
          </c:dPt>
          <c:dPt>
            <c:idx val="13"/>
            <c:marker>
              <c:spPr>
                <a:solidFill>
                  <a:srgbClr val="FFC000"/>
                </a:solidFill>
              </c:spPr>
            </c:marker>
          </c:dPt>
          <c:dPt>
            <c:idx val="18"/>
            <c:marker>
              <c:spPr>
                <a:noFill/>
              </c:spPr>
            </c:marker>
          </c:dPt>
          <c:dPt>
            <c:idx val="19"/>
            <c:marker>
              <c:spPr>
                <a:solidFill>
                  <a:schemeClr val="accent2">
                    <a:lumMod val="75000"/>
                  </a:schemeClr>
                </a:solidFill>
              </c:spPr>
            </c:marker>
          </c:dPt>
          <c:xVal>
            <c:numRef>
              <c:f>CorrelReg!$C$6:$C$25</c:f>
              <c:numCache>
                <c:formatCode>0.00</c:formatCode>
                <c:ptCount val="20"/>
                <c:pt idx="0">
                  <c:v>0.60526315789473684</c:v>
                </c:pt>
                <c:pt idx="1">
                  <c:v>0.65789473684210531</c:v>
                </c:pt>
                <c:pt idx="2">
                  <c:v>1.0263157894736843</c:v>
                </c:pt>
                <c:pt idx="3">
                  <c:v>1.1578947368421053</c:v>
                </c:pt>
                <c:pt idx="4">
                  <c:v>1.0263157894736843</c:v>
                </c:pt>
                <c:pt idx="5">
                  <c:v>1.2105263157894737</c:v>
                </c:pt>
                <c:pt idx="6">
                  <c:v>1.263157894736842</c:v>
                </c:pt>
                <c:pt idx="7">
                  <c:v>1.2894736842105263</c:v>
                </c:pt>
                <c:pt idx="8">
                  <c:v>1.4210526315789473</c:v>
                </c:pt>
                <c:pt idx="9">
                  <c:v>1.7894736842105263</c:v>
                </c:pt>
                <c:pt idx="10">
                  <c:v>1.3421052631578947</c:v>
                </c:pt>
                <c:pt idx="11">
                  <c:v>1.631578947368421</c:v>
                </c:pt>
                <c:pt idx="12">
                  <c:v>1.5</c:v>
                </c:pt>
                <c:pt idx="13">
                  <c:v>1.3157894736842106</c:v>
                </c:pt>
                <c:pt idx="14">
                  <c:v>1.3947368421052631</c:v>
                </c:pt>
                <c:pt idx="15">
                  <c:v>1.4210526315789473</c:v>
                </c:pt>
                <c:pt idx="16">
                  <c:v>1.8947368421052631</c:v>
                </c:pt>
                <c:pt idx="17">
                  <c:v>1.736842105263158</c:v>
                </c:pt>
                <c:pt idx="18">
                  <c:v>1.5263157894736843</c:v>
                </c:pt>
                <c:pt idx="19">
                  <c:v>2.0263157894736841</c:v>
                </c:pt>
              </c:numCache>
            </c:numRef>
          </c:xVal>
          <c:yVal>
            <c:numRef>
              <c:f>CorrelReg!$B$6:$B$25</c:f>
              <c:numCache>
                <c:formatCode>General</c:formatCode>
                <c:ptCount val="20"/>
                <c:pt idx="0">
                  <c:v>102</c:v>
                </c:pt>
                <c:pt idx="1">
                  <c:v>85</c:v>
                </c:pt>
                <c:pt idx="2">
                  <c:v>78</c:v>
                </c:pt>
                <c:pt idx="3">
                  <c:v>65</c:v>
                </c:pt>
                <c:pt idx="4">
                  <c:v>60</c:v>
                </c:pt>
                <c:pt idx="5">
                  <c:v>58</c:v>
                </c:pt>
                <c:pt idx="6">
                  <c:v>57</c:v>
                </c:pt>
                <c:pt idx="7">
                  <c:v>57</c:v>
                </c:pt>
                <c:pt idx="8">
                  <c:v>56</c:v>
                </c:pt>
                <c:pt idx="9">
                  <c:v>54</c:v>
                </c:pt>
                <c:pt idx="10">
                  <c:v>50</c:v>
                </c:pt>
                <c:pt idx="11">
                  <c:v>45</c:v>
                </c:pt>
                <c:pt idx="12">
                  <c:v>44</c:v>
                </c:pt>
                <c:pt idx="13">
                  <c:v>44</c:v>
                </c:pt>
                <c:pt idx="14">
                  <c:v>39</c:v>
                </c:pt>
                <c:pt idx="15">
                  <c:v>36</c:v>
                </c:pt>
                <c:pt idx="16">
                  <c:v>34</c:v>
                </c:pt>
                <c:pt idx="17">
                  <c:v>32</c:v>
                </c:pt>
                <c:pt idx="18">
                  <c:v>29</c:v>
                </c:pt>
                <c:pt idx="19">
                  <c:v>25</c:v>
                </c:pt>
              </c:numCache>
            </c:numRef>
          </c:yVal>
        </c:ser>
        <c:axId val="214964480"/>
        <c:axId val="104833408"/>
      </c:scatterChart>
      <c:valAx>
        <c:axId val="214964480"/>
        <c:scaling>
          <c:orientation val="minMax"/>
        </c:scaling>
        <c:axPos val="b"/>
        <c:numFmt formatCode="0.00" sourceLinked="1"/>
        <c:tickLblPos val="nextTo"/>
        <c:crossAx val="104833408"/>
        <c:crosses val="autoZero"/>
        <c:crossBetween val="midCat"/>
      </c:valAx>
      <c:valAx>
        <c:axId val="10483340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Points</a:t>
                </a:r>
              </a:p>
            </c:rich>
          </c:tx>
          <c:layout/>
        </c:title>
        <c:numFmt formatCode="0" sourceLinked="0"/>
        <c:tickLblPos val="nextTo"/>
        <c:crossAx val="214964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 sz="1200" b="1" i="0" u="none" strike="noStrike" baseline="0"/>
              <a:t>Fig. 3 : </a:t>
            </a:r>
            <a:r>
              <a:rPr lang="en-GB" sz="1200"/>
              <a:t>Linear Reg. Serie</a:t>
            </a:r>
            <a:r>
              <a:rPr lang="en-GB" sz="1200" baseline="0"/>
              <a:t> A GA Avg to Points Obs. vs Pred.</a:t>
            </a:r>
            <a:endParaRPr lang="en-GB" sz="1200"/>
          </a:p>
        </c:rich>
      </c:tx>
      <c:layout>
        <c:manualLayout>
          <c:xMode val="edge"/>
          <c:yMode val="edge"/>
          <c:x val="0.20144444444444576"/>
          <c:y val="2.7777777777778019E-2"/>
        </c:manualLayout>
      </c:layout>
    </c:title>
    <c:plotArea>
      <c:layout/>
      <c:scatterChart>
        <c:scatterStyle val="lineMarker"/>
        <c:ser>
          <c:idx val="0"/>
          <c:order val="0"/>
          <c:tx>
            <c:v>predicted_line</c:v>
          </c:tx>
          <c:spPr>
            <a:ln w="28575">
              <a:noFill/>
            </a:ln>
          </c:spPr>
          <c:trendline>
            <c:spPr>
              <a:ln cmpd="sng">
                <a:solidFill>
                  <a:srgbClr val="0070C0"/>
                </a:solidFill>
              </a:ln>
            </c:spPr>
            <c:trendlineType val="linear"/>
            <c:dispRSqr val="1"/>
            <c:dispEq val="1"/>
            <c:trendlineLbl>
              <c:layout>
                <c:manualLayout>
                  <c:x val="-0.10182684118127656"/>
                  <c:y val="2.7931238324939277E-2"/>
                </c:manualLayout>
              </c:layout>
              <c:numFmt formatCode="General" sourceLinked="0"/>
            </c:trendlineLbl>
          </c:trendline>
          <c:xVal>
            <c:numRef>
              <c:f>CorrelReg!$C$6:$C$25</c:f>
              <c:numCache>
                <c:formatCode>0.00</c:formatCode>
                <c:ptCount val="20"/>
                <c:pt idx="0">
                  <c:v>0.60526315789473684</c:v>
                </c:pt>
                <c:pt idx="1">
                  <c:v>0.65789473684210531</c:v>
                </c:pt>
                <c:pt idx="2">
                  <c:v>1.0263157894736843</c:v>
                </c:pt>
                <c:pt idx="3">
                  <c:v>1.1578947368421053</c:v>
                </c:pt>
                <c:pt idx="4">
                  <c:v>1.0263157894736843</c:v>
                </c:pt>
                <c:pt idx="5">
                  <c:v>1.2105263157894737</c:v>
                </c:pt>
                <c:pt idx="6">
                  <c:v>1.263157894736842</c:v>
                </c:pt>
                <c:pt idx="7">
                  <c:v>1.2894736842105263</c:v>
                </c:pt>
                <c:pt idx="8">
                  <c:v>1.4210526315789473</c:v>
                </c:pt>
                <c:pt idx="9">
                  <c:v>1.7894736842105263</c:v>
                </c:pt>
                <c:pt idx="10">
                  <c:v>1.3421052631578947</c:v>
                </c:pt>
                <c:pt idx="11">
                  <c:v>1.631578947368421</c:v>
                </c:pt>
                <c:pt idx="12">
                  <c:v>1.5</c:v>
                </c:pt>
                <c:pt idx="13">
                  <c:v>1.3157894736842106</c:v>
                </c:pt>
                <c:pt idx="14">
                  <c:v>1.3947368421052631</c:v>
                </c:pt>
                <c:pt idx="15">
                  <c:v>1.4210526315789473</c:v>
                </c:pt>
                <c:pt idx="16">
                  <c:v>1.8947368421052631</c:v>
                </c:pt>
                <c:pt idx="17">
                  <c:v>1.736842105263158</c:v>
                </c:pt>
                <c:pt idx="18">
                  <c:v>1.5263157894736843</c:v>
                </c:pt>
                <c:pt idx="19">
                  <c:v>2.0263157894736841</c:v>
                </c:pt>
              </c:numCache>
            </c:numRef>
          </c:xVal>
          <c:yVal>
            <c:numRef>
              <c:f>CorrelReg!$H$81:$H$100</c:f>
              <c:numCache>
                <c:formatCode>0.00</c:formatCode>
                <c:ptCount val="20"/>
                <c:pt idx="0">
                  <c:v>87.663386494740422</c:v>
                </c:pt>
                <c:pt idx="1">
                  <c:v>85.217237869019343</c:v>
                </c:pt>
                <c:pt idx="2">
                  <c:v>68.094197488971844</c:v>
                </c:pt>
                <c:pt idx="3">
                  <c:v>61.97882592466916</c:v>
                </c:pt>
                <c:pt idx="4">
                  <c:v>68.094197488971844</c:v>
                </c:pt>
                <c:pt idx="5">
                  <c:v>59.532677298948087</c:v>
                </c:pt>
                <c:pt idx="6">
                  <c:v>57.086528673227015</c:v>
                </c:pt>
                <c:pt idx="7">
                  <c:v>55.863454360366475</c:v>
                </c:pt>
                <c:pt idx="8">
                  <c:v>49.748082796063798</c:v>
                </c:pt>
                <c:pt idx="9">
                  <c:v>32.625042416016285</c:v>
                </c:pt>
                <c:pt idx="10">
                  <c:v>53.417305734645403</c:v>
                </c:pt>
                <c:pt idx="11">
                  <c:v>39.963488293179509</c:v>
                </c:pt>
                <c:pt idx="12">
                  <c:v>46.078859857482186</c:v>
                </c:pt>
                <c:pt idx="13">
                  <c:v>54.640380047505936</c:v>
                </c:pt>
                <c:pt idx="14">
                  <c:v>50.971157108924331</c:v>
                </c:pt>
                <c:pt idx="15">
                  <c:v>49.748082796063798</c:v>
                </c:pt>
                <c:pt idx="16">
                  <c:v>27.732745164574141</c:v>
                </c:pt>
                <c:pt idx="17">
                  <c:v>35.07119104173735</c:v>
                </c:pt>
                <c:pt idx="18">
                  <c:v>44.855785544621639</c:v>
                </c:pt>
                <c:pt idx="19">
                  <c:v>21.617373600271463</c:v>
                </c:pt>
              </c:numCache>
            </c:numRef>
          </c:yVal>
        </c:ser>
        <c:ser>
          <c:idx val="1"/>
          <c:order val="1"/>
          <c:tx>
            <c:v>upper_CI</c:v>
          </c:tx>
          <c:spPr>
            <a:ln w="28575" cmpd="dbl">
              <a:noFill/>
              <a:prstDash val="sysDash"/>
            </a:ln>
          </c:spPr>
          <c:marker>
            <c:spPr>
              <a:solidFill>
                <a:srgbClr val="C0504D">
                  <a:alpha val="39000"/>
                </a:srgbClr>
              </a:solidFill>
            </c:spPr>
          </c:marker>
          <c:xVal>
            <c:numRef>
              <c:f>CorrelReg!$C$6:$C$25</c:f>
              <c:numCache>
                <c:formatCode>0.00</c:formatCode>
                <c:ptCount val="20"/>
                <c:pt idx="0">
                  <c:v>0.60526315789473684</c:v>
                </c:pt>
                <c:pt idx="1">
                  <c:v>0.65789473684210531</c:v>
                </c:pt>
                <c:pt idx="2">
                  <c:v>1.0263157894736843</c:v>
                </c:pt>
                <c:pt idx="3">
                  <c:v>1.1578947368421053</c:v>
                </c:pt>
                <c:pt idx="4">
                  <c:v>1.0263157894736843</c:v>
                </c:pt>
                <c:pt idx="5">
                  <c:v>1.2105263157894737</c:v>
                </c:pt>
                <c:pt idx="6">
                  <c:v>1.263157894736842</c:v>
                </c:pt>
                <c:pt idx="7">
                  <c:v>1.2894736842105263</c:v>
                </c:pt>
                <c:pt idx="8">
                  <c:v>1.4210526315789473</c:v>
                </c:pt>
                <c:pt idx="9">
                  <c:v>1.7894736842105263</c:v>
                </c:pt>
                <c:pt idx="10">
                  <c:v>1.3421052631578947</c:v>
                </c:pt>
                <c:pt idx="11">
                  <c:v>1.631578947368421</c:v>
                </c:pt>
                <c:pt idx="12">
                  <c:v>1.5</c:v>
                </c:pt>
                <c:pt idx="13">
                  <c:v>1.3157894736842106</c:v>
                </c:pt>
                <c:pt idx="14">
                  <c:v>1.3947368421052631</c:v>
                </c:pt>
                <c:pt idx="15">
                  <c:v>1.4210526315789473</c:v>
                </c:pt>
                <c:pt idx="16">
                  <c:v>1.8947368421052631</c:v>
                </c:pt>
                <c:pt idx="17">
                  <c:v>1.736842105263158</c:v>
                </c:pt>
                <c:pt idx="18">
                  <c:v>1.5263157894736843</c:v>
                </c:pt>
                <c:pt idx="19">
                  <c:v>2.0263157894736841</c:v>
                </c:pt>
              </c:numCache>
            </c:numRef>
          </c:xVal>
          <c:yVal>
            <c:numRef>
              <c:f>CorrelReg!$I$81:$I$100</c:f>
              <c:numCache>
                <c:formatCode>0.00</c:formatCode>
                <c:ptCount val="20"/>
                <c:pt idx="0">
                  <c:v>92.4423230853955</c:v>
                </c:pt>
                <c:pt idx="1">
                  <c:v>89.996174459674421</c:v>
                </c:pt>
                <c:pt idx="2">
                  <c:v>72.873134079626922</c:v>
                </c:pt>
                <c:pt idx="3">
                  <c:v>66.757762515324245</c:v>
                </c:pt>
                <c:pt idx="4">
                  <c:v>72.873134079626922</c:v>
                </c:pt>
                <c:pt idx="5">
                  <c:v>64.311613889603166</c:v>
                </c:pt>
                <c:pt idx="6">
                  <c:v>61.865465263882093</c:v>
                </c:pt>
                <c:pt idx="7">
                  <c:v>60.642390951021554</c:v>
                </c:pt>
                <c:pt idx="8">
                  <c:v>54.527019386718877</c:v>
                </c:pt>
                <c:pt idx="9">
                  <c:v>37.403979006671364</c:v>
                </c:pt>
                <c:pt idx="10">
                  <c:v>58.196242325300481</c:v>
                </c:pt>
                <c:pt idx="11">
                  <c:v>44.742424883834587</c:v>
                </c:pt>
                <c:pt idx="12">
                  <c:v>50.857796448137265</c:v>
                </c:pt>
                <c:pt idx="13">
                  <c:v>59.419316638161014</c:v>
                </c:pt>
                <c:pt idx="14">
                  <c:v>55.750093699579409</c:v>
                </c:pt>
                <c:pt idx="15">
                  <c:v>54.527019386718877</c:v>
                </c:pt>
                <c:pt idx="16">
                  <c:v>32.511681755229219</c:v>
                </c:pt>
                <c:pt idx="17">
                  <c:v>39.850127632392429</c:v>
                </c:pt>
                <c:pt idx="18">
                  <c:v>49.634722135276718</c:v>
                </c:pt>
                <c:pt idx="19">
                  <c:v>26.396310190926542</c:v>
                </c:pt>
              </c:numCache>
            </c:numRef>
          </c:yVal>
        </c:ser>
        <c:ser>
          <c:idx val="2"/>
          <c:order val="2"/>
          <c:tx>
            <c:v>lower_CI</c:v>
          </c:tx>
          <c:spPr>
            <a:ln w="28575" cmpd="dbl">
              <a:noFill/>
              <a:prstDash val="sysDash"/>
            </a:ln>
          </c:spPr>
          <c:xVal>
            <c:numRef>
              <c:f>CorrelReg!$C$6:$C$25</c:f>
              <c:numCache>
                <c:formatCode>0.00</c:formatCode>
                <c:ptCount val="20"/>
                <c:pt idx="0">
                  <c:v>0.60526315789473684</c:v>
                </c:pt>
                <c:pt idx="1">
                  <c:v>0.65789473684210531</c:v>
                </c:pt>
                <c:pt idx="2">
                  <c:v>1.0263157894736843</c:v>
                </c:pt>
                <c:pt idx="3">
                  <c:v>1.1578947368421053</c:v>
                </c:pt>
                <c:pt idx="4">
                  <c:v>1.0263157894736843</c:v>
                </c:pt>
                <c:pt idx="5">
                  <c:v>1.2105263157894737</c:v>
                </c:pt>
                <c:pt idx="6">
                  <c:v>1.263157894736842</c:v>
                </c:pt>
                <c:pt idx="7">
                  <c:v>1.2894736842105263</c:v>
                </c:pt>
                <c:pt idx="8">
                  <c:v>1.4210526315789473</c:v>
                </c:pt>
                <c:pt idx="9">
                  <c:v>1.7894736842105263</c:v>
                </c:pt>
                <c:pt idx="10">
                  <c:v>1.3421052631578947</c:v>
                </c:pt>
                <c:pt idx="11">
                  <c:v>1.631578947368421</c:v>
                </c:pt>
                <c:pt idx="12">
                  <c:v>1.5</c:v>
                </c:pt>
                <c:pt idx="13">
                  <c:v>1.3157894736842106</c:v>
                </c:pt>
                <c:pt idx="14">
                  <c:v>1.3947368421052631</c:v>
                </c:pt>
                <c:pt idx="15">
                  <c:v>1.4210526315789473</c:v>
                </c:pt>
                <c:pt idx="16">
                  <c:v>1.8947368421052631</c:v>
                </c:pt>
                <c:pt idx="17">
                  <c:v>1.736842105263158</c:v>
                </c:pt>
                <c:pt idx="18">
                  <c:v>1.5263157894736843</c:v>
                </c:pt>
                <c:pt idx="19">
                  <c:v>2.0263157894736841</c:v>
                </c:pt>
              </c:numCache>
            </c:numRef>
          </c:xVal>
          <c:yVal>
            <c:numRef>
              <c:f>CorrelReg!$J$81:$J$100</c:f>
              <c:numCache>
                <c:formatCode>0.00</c:formatCode>
                <c:ptCount val="20"/>
                <c:pt idx="0">
                  <c:v>82.884449904085344</c:v>
                </c:pt>
                <c:pt idx="1">
                  <c:v>80.438301278364264</c:v>
                </c:pt>
                <c:pt idx="2">
                  <c:v>63.315260898316765</c:v>
                </c:pt>
                <c:pt idx="3">
                  <c:v>57.199889334014081</c:v>
                </c:pt>
                <c:pt idx="4">
                  <c:v>63.315260898316765</c:v>
                </c:pt>
                <c:pt idx="5">
                  <c:v>54.753740708293009</c:v>
                </c:pt>
                <c:pt idx="6">
                  <c:v>52.307592082571936</c:v>
                </c:pt>
                <c:pt idx="7">
                  <c:v>51.084517769711397</c:v>
                </c:pt>
                <c:pt idx="8">
                  <c:v>44.96914620540872</c:v>
                </c:pt>
                <c:pt idx="9">
                  <c:v>27.846105825361207</c:v>
                </c:pt>
                <c:pt idx="10">
                  <c:v>48.638369143990325</c:v>
                </c:pt>
                <c:pt idx="11">
                  <c:v>35.184551702524431</c:v>
                </c:pt>
                <c:pt idx="12">
                  <c:v>41.299923266827108</c:v>
                </c:pt>
                <c:pt idx="13">
                  <c:v>49.861443456850857</c:v>
                </c:pt>
                <c:pt idx="14">
                  <c:v>46.192220518269252</c:v>
                </c:pt>
                <c:pt idx="15">
                  <c:v>44.96914620540872</c:v>
                </c:pt>
                <c:pt idx="16">
                  <c:v>22.953808573919062</c:v>
                </c:pt>
                <c:pt idx="17">
                  <c:v>30.292254451082272</c:v>
                </c:pt>
                <c:pt idx="18">
                  <c:v>40.076848953966561</c:v>
                </c:pt>
                <c:pt idx="19">
                  <c:v>16.838437009616385</c:v>
                </c:pt>
              </c:numCache>
            </c:numRef>
          </c:yVal>
        </c:ser>
        <c:ser>
          <c:idx val="3"/>
          <c:order val="3"/>
          <c:tx>
            <c:v>raw_data</c:v>
          </c:tx>
          <c:spPr>
            <a:ln w="28575">
              <a:noFill/>
            </a:ln>
          </c:spPr>
          <c:marker>
            <c:symbol val="star"/>
            <c:size val="7"/>
          </c:marker>
          <c:dPt>
            <c:idx val="0"/>
            <c:marker>
              <c:spPr>
                <a:solidFill>
                  <a:srgbClr val="002060"/>
                </a:solidFill>
              </c:spPr>
            </c:marker>
          </c:dPt>
          <c:dPt>
            <c:idx val="2"/>
            <c:marker>
              <c:spPr>
                <a:solidFill>
                  <a:schemeClr val="accent6">
                    <a:lumMod val="75000"/>
                  </a:schemeClr>
                </a:solidFill>
              </c:spPr>
            </c:marker>
          </c:dPt>
          <c:dPt>
            <c:idx val="4"/>
            <c:marker>
              <c:spPr>
                <a:solidFill>
                  <a:srgbClr val="FFC000"/>
                </a:solidFill>
              </c:spPr>
            </c:marker>
          </c:dPt>
          <c:dPt>
            <c:idx val="9"/>
            <c:marker>
              <c:spPr>
                <a:solidFill>
                  <a:schemeClr val="accent6">
                    <a:lumMod val="75000"/>
                  </a:schemeClr>
                </a:solidFill>
              </c:spPr>
            </c:marker>
          </c:dPt>
          <c:dPt>
            <c:idx val="13"/>
            <c:marker>
              <c:spPr>
                <a:solidFill>
                  <a:srgbClr val="FFC000"/>
                </a:solidFill>
              </c:spPr>
            </c:marker>
          </c:dPt>
          <c:dPt>
            <c:idx val="14"/>
            <c:marker>
              <c:spPr>
                <a:solidFill>
                  <a:srgbClr val="FFC000"/>
                </a:solidFill>
              </c:spPr>
            </c:marker>
          </c:dPt>
          <c:dPt>
            <c:idx val="15"/>
            <c:marker>
              <c:spPr>
                <a:solidFill>
                  <a:srgbClr val="FFC000"/>
                </a:solidFill>
              </c:spPr>
            </c:marker>
          </c:dPt>
          <c:dPt>
            <c:idx val="18"/>
            <c:marker>
              <c:spPr>
                <a:solidFill>
                  <a:srgbClr val="FFC000"/>
                </a:solidFill>
              </c:spPr>
            </c:marker>
          </c:dPt>
          <c:dPt>
            <c:idx val="19"/>
            <c:marker>
              <c:spPr>
                <a:noFill/>
              </c:spPr>
            </c:marker>
          </c:dPt>
          <c:xVal>
            <c:numRef>
              <c:f>CorrelReg!$C$6:$C$25</c:f>
              <c:numCache>
                <c:formatCode>0.00</c:formatCode>
                <c:ptCount val="20"/>
                <c:pt idx="0">
                  <c:v>0.60526315789473684</c:v>
                </c:pt>
                <c:pt idx="1">
                  <c:v>0.65789473684210531</c:v>
                </c:pt>
                <c:pt idx="2">
                  <c:v>1.0263157894736843</c:v>
                </c:pt>
                <c:pt idx="3">
                  <c:v>1.1578947368421053</c:v>
                </c:pt>
                <c:pt idx="4">
                  <c:v>1.0263157894736843</c:v>
                </c:pt>
                <c:pt idx="5">
                  <c:v>1.2105263157894737</c:v>
                </c:pt>
                <c:pt idx="6">
                  <c:v>1.263157894736842</c:v>
                </c:pt>
                <c:pt idx="7">
                  <c:v>1.2894736842105263</c:v>
                </c:pt>
                <c:pt idx="8">
                  <c:v>1.4210526315789473</c:v>
                </c:pt>
                <c:pt idx="9">
                  <c:v>1.7894736842105263</c:v>
                </c:pt>
                <c:pt idx="10">
                  <c:v>1.3421052631578947</c:v>
                </c:pt>
                <c:pt idx="11">
                  <c:v>1.631578947368421</c:v>
                </c:pt>
                <c:pt idx="12">
                  <c:v>1.5</c:v>
                </c:pt>
                <c:pt idx="13">
                  <c:v>1.3157894736842106</c:v>
                </c:pt>
                <c:pt idx="14">
                  <c:v>1.3947368421052631</c:v>
                </c:pt>
                <c:pt idx="15">
                  <c:v>1.4210526315789473</c:v>
                </c:pt>
                <c:pt idx="16">
                  <c:v>1.8947368421052631</c:v>
                </c:pt>
                <c:pt idx="17">
                  <c:v>1.736842105263158</c:v>
                </c:pt>
                <c:pt idx="18">
                  <c:v>1.5263157894736843</c:v>
                </c:pt>
                <c:pt idx="19">
                  <c:v>2.0263157894736841</c:v>
                </c:pt>
              </c:numCache>
            </c:numRef>
          </c:xVal>
          <c:yVal>
            <c:numRef>
              <c:f>CorrelReg!$B$6:$B$25</c:f>
              <c:numCache>
                <c:formatCode>General</c:formatCode>
                <c:ptCount val="20"/>
                <c:pt idx="0">
                  <c:v>102</c:v>
                </c:pt>
                <c:pt idx="1">
                  <c:v>85</c:v>
                </c:pt>
                <c:pt idx="2">
                  <c:v>78</c:v>
                </c:pt>
                <c:pt idx="3">
                  <c:v>65</c:v>
                </c:pt>
                <c:pt idx="4">
                  <c:v>60</c:v>
                </c:pt>
                <c:pt idx="5">
                  <c:v>58</c:v>
                </c:pt>
                <c:pt idx="6">
                  <c:v>57</c:v>
                </c:pt>
                <c:pt idx="7">
                  <c:v>57</c:v>
                </c:pt>
                <c:pt idx="8">
                  <c:v>56</c:v>
                </c:pt>
                <c:pt idx="9">
                  <c:v>54</c:v>
                </c:pt>
                <c:pt idx="10">
                  <c:v>50</c:v>
                </c:pt>
                <c:pt idx="11">
                  <c:v>45</c:v>
                </c:pt>
                <c:pt idx="12">
                  <c:v>44</c:v>
                </c:pt>
                <c:pt idx="13">
                  <c:v>44</c:v>
                </c:pt>
                <c:pt idx="14">
                  <c:v>39</c:v>
                </c:pt>
                <c:pt idx="15">
                  <c:v>36</c:v>
                </c:pt>
                <c:pt idx="16">
                  <c:v>34</c:v>
                </c:pt>
                <c:pt idx="17">
                  <c:v>32</c:v>
                </c:pt>
                <c:pt idx="18">
                  <c:v>29</c:v>
                </c:pt>
                <c:pt idx="19">
                  <c:v>25</c:v>
                </c:pt>
              </c:numCache>
            </c:numRef>
          </c:yVal>
        </c:ser>
        <c:axId val="104909824"/>
        <c:axId val="104911616"/>
      </c:scatterChart>
      <c:valAx>
        <c:axId val="104909824"/>
        <c:scaling>
          <c:orientation val="minMax"/>
        </c:scaling>
        <c:axPos val="b"/>
        <c:numFmt formatCode="0.00" sourceLinked="1"/>
        <c:tickLblPos val="nextTo"/>
        <c:crossAx val="104911616"/>
        <c:crosses val="autoZero"/>
        <c:crossBetween val="midCat"/>
      </c:valAx>
      <c:valAx>
        <c:axId val="10491161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Points</a:t>
                </a:r>
              </a:p>
            </c:rich>
          </c:tx>
        </c:title>
        <c:numFmt formatCode="0" sourceLinked="0"/>
        <c:tickLblPos val="nextTo"/>
        <c:crossAx val="104909824"/>
        <c:crosses val="autoZero"/>
        <c:crossBetween val="midCat"/>
      </c:valAx>
      <c:spPr>
        <a:noFill/>
        <a:ln w="25400">
          <a:noFill/>
        </a:ln>
      </c:spPr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 sz="1200"/>
              <a:t>Fig. 1b : Points Residual</a:t>
            </a:r>
            <a:r>
              <a:rPr lang="en-US" sz="1200" baseline="0"/>
              <a:t> Plot</a:t>
            </a:r>
            <a:endParaRPr lang="en-US" sz="12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CorrelReg!$U$5</c:f>
              <c:strCache>
                <c:ptCount val="1"/>
                <c:pt idx="0">
                  <c:v>Residuals</c:v>
                </c:pt>
              </c:strCache>
            </c:strRef>
          </c:tx>
          <c:spPr>
            <a:ln w="28575">
              <a:noFill/>
            </a:ln>
          </c:spPr>
          <c:dPt>
            <c:idx val="4"/>
            <c:marker>
              <c:spPr>
                <a:solidFill>
                  <a:srgbClr val="FF0000"/>
                </a:solidFill>
              </c:spPr>
            </c:marker>
          </c:dPt>
          <c:dPt>
            <c:idx val="5"/>
            <c:marker>
              <c:spPr>
                <a:solidFill>
                  <a:srgbClr val="FF0000"/>
                </a:solidFill>
              </c:spPr>
            </c:marker>
          </c:dPt>
          <c:dPt>
            <c:idx val="9"/>
            <c:marker>
              <c:spPr>
                <a:solidFill>
                  <a:srgbClr val="FF0000"/>
                </a:solidFill>
              </c:spPr>
            </c:marker>
          </c:dPt>
          <c:dPt>
            <c:idx val="10"/>
            <c:marker>
              <c:spPr>
                <a:solidFill>
                  <a:srgbClr val="FF0000"/>
                </a:solidFill>
              </c:spPr>
            </c:marker>
          </c:dPt>
          <c:dPt>
            <c:idx val="12"/>
            <c:marker>
              <c:spPr>
                <a:solidFill>
                  <a:srgbClr val="FF0000"/>
                </a:solidFill>
              </c:spPr>
            </c:marker>
          </c:dPt>
          <c:dPt>
            <c:idx val="13"/>
            <c:marker>
              <c:spPr>
                <a:solidFill>
                  <a:srgbClr val="FF0000"/>
                </a:solidFill>
              </c:spPr>
            </c:marker>
          </c:dPt>
          <c:dPt>
            <c:idx val="15"/>
            <c:marker>
              <c:spPr>
                <a:solidFill>
                  <a:srgbClr val="FF0000"/>
                </a:solidFill>
              </c:spPr>
            </c:marker>
          </c:dPt>
          <c:dLbls>
            <c:dLbl>
              <c:idx val="0"/>
              <c:layout>
                <c:manualLayout>
                  <c:x val="-4.8645660585958955E-2"/>
                  <c:y val="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 sz="800"/>
                      <a:t>Juventus</a:t>
                    </a:r>
                    <a:r>
                      <a:rPr lang="en-US"/>
                      <a:t> 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ysClr val="windowText" lastClr="000000"/>
                        </a:solidFill>
                      </a:rPr>
                      <a:t>Inter</a:t>
                    </a:r>
                  </a:p>
                </c:rich>
              </c:tx>
              <c:showVal val="1"/>
            </c:dLbl>
            <c:dLbl>
              <c:idx val="11"/>
              <c:layout>
                <c:manualLayout>
                  <c:x val="-4.864566058595895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 sz="800"/>
                      <a:t>Sampdoria</a:t>
                    </a:r>
                  </a:p>
                </c:rich>
              </c:tx>
              <c:showVal val="1"/>
            </c:dLbl>
            <c:dLbl>
              <c:idx val="13"/>
              <c:layout>
                <c:manualLayout>
                  <c:x val="-8.6235663328153744E-2"/>
                  <c:y val="4.6296296296296389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ysClr val="windowText" lastClr="000000"/>
                        </a:solidFill>
                      </a:rPr>
                      <a:t>Genoa</a:t>
                    </a:r>
                  </a:p>
                </c:rich>
              </c:tx>
              <c:showVal val="1"/>
            </c:dLbl>
            <c:dLbl>
              <c:idx val="15"/>
              <c:layout>
                <c:manualLayout>
                  <c:x val="-9.0657822001105726E-2"/>
                  <c:y val="4.6296296296297213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ysClr val="windowText" lastClr="000000"/>
                        </a:solidFill>
                      </a:rPr>
                      <a:t>Chievo</a:t>
                    </a:r>
                  </a:p>
                </c:rich>
              </c:tx>
              <c:showVal val="1"/>
            </c:dLbl>
            <c:dLbl>
              <c:idx val="19"/>
              <c:layout>
                <c:manualLayout>
                  <c:x val="-3.0956329463792152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 sz="800"/>
                      <a:t>Livorno</a:t>
                    </a:r>
                  </a:p>
                </c:rich>
              </c:tx>
              <c:showVal val="1"/>
            </c:dLbl>
            <c:delete val="1"/>
          </c:dLbls>
          <c:xVal>
            <c:numRef>
              <c:f>CorrelReg!$B$6:$B$25</c:f>
              <c:numCache>
                <c:formatCode>General</c:formatCode>
                <c:ptCount val="20"/>
                <c:pt idx="0">
                  <c:v>102</c:v>
                </c:pt>
                <c:pt idx="1">
                  <c:v>85</c:v>
                </c:pt>
                <c:pt idx="2">
                  <c:v>78</c:v>
                </c:pt>
                <c:pt idx="3">
                  <c:v>65</c:v>
                </c:pt>
                <c:pt idx="4">
                  <c:v>60</c:v>
                </c:pt>
                <c:pt idx="5">
                  <c:v>58</c:v>
                </c:pt>
                <c:pt idx="6">
                  <c:v>57</c:v>
                </c:pt>
                <c:pt idx="7">
                  <c:v>57</c:v>
                </c:pt>
                <c:pt idx="8">
                  <c:v>56</c:v>
                </c:pt>
                <c:pt idx="9">
                  <c:v>54</c:v>
                </c:pt>
                <c:pt idx="10">
                  <c:v>50</c:v>
                </c:pt>
                <c:pt idx="11">
                  <c:v>45</c:v>
                </c:pt>
                <c:pt idx="12">
                  <c:v>44</c:v>
                </c:pt>
                <c:pt idx="13">
                  <c:v>44</c:v>
                </c:pt>
                <c:pt idx="14">
                  <c:v>39</c:v>
                </c:pt>
                <c:pt idx="15">
                  <c:v>36</c:v>
                </c:pt>
                <c:pt idx="16">
                  <c:v>34</c:v>
                </c:pt>
                <c:pt idx="17">
                  <c:v>32</c:v>
                </c:pt>
                <c:pt idx="18">
                  <c:v>29</c:v>
                </c:pt>
                <c:pt idx="19">
                  <c:v>25</c:v>
                </c:pt>
              </c:numCache>
            </c:numRef>
          </c:xVal>
          <c:yVal>
            <c:numRef>
              <c:f>CorrelReg!$U$6:$U$25</c:f>
              <c:numCache>
                <c:formatCode>0.000_ ;[Red]\-0.000\ </c:formatCode>
                <c:ptCount val="20"/>
                <c:pt idx="0">
                  <c:v>8.8348341574657212</c:v>
                </c:pt>
                <c:pt idx="1">
                  <c:v>3.7715861254738456</c:v>
                </c:pt>
                <c:pt idx="2">
                  <c:v>2.5874909807708946</c:v>
                </c:pt>
                <c:pt idx="3">
                  <c:v>3.1348665580426527</c:v>
                </c:pt>
                <c:pt idx="4">
                  <c:v>-11.529380742320853</c:v>
                </c:pt>
                <c:pt idx="5">
                  <c:v>-3.5053823532118926</c:v>
                </c:pt>
                <c:pt idx="6">
                  <c:v>-5.4358865718896254E-2</c:v>
                </c:pt>
                <c:pt idx="7">
                  <c:v>3.3647503726394064</c:v>
                </c:pt>
                <c:pt idx="8">
                  <c:v>2.0600045704304648</c:v>
                </c:pt>
                <c:pt idx="9">
                  <c:v>-0.95446369052120872</c:v>
                </c:pt>
                <c:pt idx="10">
                  <c:v>-2.0590767975366759</c:v>
                </c:pt>
                <c:pt idx="11">
                  <c:v>4.3059883710136972</c:v>
                </c:pt>
                <c:pt idx="12">
                  <c:v>-3.3610476363429385</c:v>
                </c:pt>
                <c:pt idx="13">
                  <c:v>-11.833881307757267</c:v>
                </c:pt>
                <c:pt idx="14">
                  <c:v>0.9057213395823922</c:v>
                </c:pt>
                <c:pt idx="15">
                  <c:v>-5.5468343584905213</c:v>
                </c:pt>
                <c:pt idx="16">
                  <c:v>3.1570293175904922</c:v>
                </c:pt>
                <c:pt idx="17">
                  <c:v>0.866336761986787</c:v>
                </c:pt>
                <c:pt idx="18">
                  <c:v>-0.1797391818659122</c:v>
                </c:pt>
                <c:pt idx="19">
                  <c:v>6.0355563787694422</c:v>
                </c:pt>
              </c:numCache>
            </c:numRef>
          </c:yVal>
        </c:ser>
        <c:axId val="117444608"/>
        <c:axId val="117446144"/>
      </c:scatterChart>
      <c:valAx>
        <c:axId val="117444608"/>
        <c:scaling>
          <c:orientation val="minMax"/>
          <c:max val="110"/>
          <c:min val="0"/>
        </c:scaling>
        <c:axPos val="b"/>
        <c:numFmt formatCode="General" sourceLinked="1"/>
        <c:tickLblPos val="nextTo"/>
        <c:crossAx val="117446144"/>
        <c:crosses val="autoZero"/>
        <c:crossBetween val="midCat"/>
        <c:majorUnit val="10"/>
        <c:minorUnit val="2"/>
      </c:valAx>
      <c:valAx>
        <c:axId val="1174461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Residuals</a:t>
                </a:r>
              </a:p>
            </c:rich>
          </c:tx>
          <c:layout/>
        </c:title>
        <c:numFmt formatCode="0" sourceLinked="0"/>
        <c:tickLblPos val="nextTo"/>
        <c:crossAx val="117444608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 sz="1200" b="1" i="0" u="none" strike="noStrike" baseline="0"/>
              <a:t>Fig. 4 : ANOVA Team </a:t>
            </a:r>
            <a:r>
              <a:rPr lang="en-GB" sz="1200"/>
              <a:t>Points vs GF to S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Top 4</c:v>
          </c:tx>
          <c:spPr>
            <a:ln w="28575">
              <a:noFill/>
            </a:ln>
          </c:spPr>
          <c:xVal>
            <c:numRef>
              <c:f>Anova!$I$27:$I$30</c:f>
              <c:numCache>
                <c:formatCode>General</c:formatCode>
                <c:ptCount val="4"/>
                <c:pt idx="0">
                  <c:v>102</c:v>
                </c:pt>
                <c:pt idx="1">
                  <c:v>85</c:v>
                </c:pt>
                <c:pt idx="2">
                  <c:v>78</c:v>
                </c:pt>
                <c:pt idx="3">
                  <c:v>65</c:v>
                </c:pt>
              </c:numCache>
            </c:numRef>
          </c:xVal>
          <c:yVal>
            <c:numRef>
              <c:f>Anova!$J$27:$J$30</c:f>
              <c:numCache>
                <c:formatCode>0.00%</c:formatCode>
                <c:ptCount val="4"/>
                <c:pt idx="0">
                  <c:v>0.13289036544850499</c:v>
                </c:pt>
                <c:pt idx="1">
                  <c:v>0.12162162162162163</c:v>
                </c:pt>
                <c:pt idx="2">
                  <c:v>0.13344887348353554</c:v>
                </c:pt>
                <c:pt idx="3">
                  <c:v>0.11324041811846691</c:v>
                </c:pt>
              </c:numCache>
            </c:numRef>
          </c:yVal>
        </c:ser>
        <c:ser>
          <c:idx val="1"/>
          <c:order val="1"/>
          <c:tx>
            <c:v>Middle 12</c:v>
          </c:tx>
          <c:spPr>
            <a:ln w="28575">
              <a:noFill/>
            </a:ln>
          </c:spPr>
          <c:xVal>
            <c:numRef>
              <c:f>Anova!$I$31:$I$42</c:f>
              <c:numCache>
                <c:formatCode>General</c:formatCode>
                <c:ptCount val="12"/>
                <c:pt idx="0">
                  <c:v>60</c:v>
                </c:pt>
                <c:pt idx="1">
                  <c:v>58</c:v>
                </c:pt>
                <c:pt idx="2">
                  <c:v>57</c:v>
                </c:pt>
                <c:pt idx="3">
                  <c:v>57</c:v>
                </c:pt>
                <c:pt idx="4">
                  <c:v>56</c:v>
                </c:pt>
                <c:pt idx="5">
                  <c:v>54</c:v>
                </c:pt>
                <c:pt idx="6">
                  <c:v>50</c:v>
                </c:pt>
                <c:pt idx="7">
                  <c:v>45</c:v>
                </c:pt>
                <c:pt idx="8">
                  <c:v>44</c:v>
                </c:pt>
                <c:pt idx="9">
                  <c:v>44</c:v>
                </c:pt>
                <c:pt idx="10">
                  <c:v>39</c:v>
                </c:pt>
                <c:pt idx="11">
                  <c:v>36</c:v>
                </c:pt>
              </c:numCache>
            </c:numRef>
          </c:xVal>
          <c:yVal>
            <c:numRef>
              <c:f>Anova!$J$31:$J$42</c:f>
              <c:numCache>
                <c:formatCode>0.00%</c:formatCode>
                <c:ptCount val="12"/>
                <c:pt idx="0">
                  <c:v>0.11355311355311355</c:v>
                </c:pt>
                <c:pt idx="1">
                  <c:v>0.11740890688259109</c:v>
                </c:pt>
                <c:pt idx="2">
                  <c:v>0.11530815109343936</c:v>
                </c:pt>
                <c:pt idx="3">
                  <c:v>9.1935483870967741E-2</c:v>
                </c:pt>
                <c:pt idx="4">
                  <c:v>0.10018552875695733</c:v>
                </c:pt>
                <c:pt idx="5">
                  <c:v>0.13507625272331156</c:v>
                </c:pt>
                <c:pt idx="6">
                  <c:v>9.6196868008948541E-2</c:v>
                </c:pt>
                <c:pt idx="7">
                  <c:v>9.2130518234165071E-2</c:v>
                </c:pt>
                <c:pt idx="8">
                  <c:v>9.5435684647302899E-2</c:v>
                </c:pt>
                <c:pt idx="9">
                  <c:v>0.10933333333333334</c:v>
                </c:pt>
                <c:pt idx="10">
                  <c:v>7.2649572649572655E-2</c:v>
                </c:pt>
                <c:pt idx="11">
                  <c:v>8.2324455205811151E-2</c:v>
                </c:pt>
              </c:numCache>
            </c:numRef>
          </c:yVal>
        </c:ser>
        <c:ser>
          <c:idx val="2"/>
          <c:order val="2"/>
          <c:tx>
            <c:v>Bottom 4</c:v>
          </c:tx>
          <c:spPr>
            <a:ln w="28575">
              <a:noFill/>
            </a:ln>
          </c:spPr>
          <c:xVal>
            <c:numRef>
              <c:f>Anova!$I$43:$I$46</c:f>
              <c:numCache>
                <c:formatCode>General</c:formatCode>
                <c:ptCount val="4"/>
                <c:pt idx="0">
                  <c:v>34</c:v>
                </c:pt>
                <c:pt idx="1">
                  <c:v>32</c:v>
                </c:pt>
                <c:pt idx="2">
                  <c:v>29</c:v>
                </c:pt>
                <c:pt idx="3">
                  <c:v>25</c:v>
                </c:pt>
              </c:numCache>
            </c:numRef>
          </c:xVal>
          <c:yVal>
            <c:numRef>
              <c:f>Anova!$J$43:$J$46</c:f>
              <c:numCache>
                <c:formatCode>0.00%</c:formatCode>
                <c:ptCount val="4"/>
                <c:pt idx="0">
                  <c:v>8.7398373983739841E-2</c:v>
                </c:pt>
                <c:pt idx="1">
                  <c:v>7.0247933884297523E-2</c:v>
                </c:pt>
                <c:pt idx="2">
                  <c:v>5.6451612903225798E-2</c:v>
                </c:pt>
                <c:pt idx="3">
                  <c:v>8.0745341614906832E-2</c:v>
                </c:pt>
              </c:numCache>
            </c:numRef>
          </c:yVal>
        </c:ser>
        <c:axId val="117558272"/>
        <c:axId val="117560448"/>
      </c:scatterChart>
      <c:valAx>
        <c:axId val="117558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Points</a:t>
                </a:r>
              </a:p>
            </c:rich>
          </c:tx>
        </c:title>
        <c:numFmt formatCode="General" sourceLinked="1"/>
        <c:tickLblPos val="nextTo"/>
        <c:crossAx val="117560448"/>
        <c:crosses val="autoZero"/>
        <c:crossBetween val="midCat"/>
        <c:majorUnit val="10"/>
      </c:valAx>
      <c:valAx>
        <c:axId val="117560448"/>
        <c:scaling>
          <c:orientation val="minMax"/>
          <c:max val="0.16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GF to S</a:t>
                </a:r>
              </a:p>
            </c:rich>
          </c:tx>
        </c:title>
        <c:numFmt formatCode="0%" sourceLinked="0"/>
        <c:tickLblPos val="nextTo"/>
        <c:crossAx val="11755827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 sz="1200" b="1" i="0" u="none" strike="noStrike" baseline="0"/>
              <a:t>Fig. 5 : t-test </a:t>
            </a:r>
            <a:r>
              <a:rPr lang="en-GB" sz="1200"/>
              <a:t>Box Plot for difference measures </a:t>
            </a:r>
            <a:r>
              <a:rPr lang="el-GR" sz="1200"/>
              <a:t>Δ (</a:t>
            </a:r>
            <a:r>
              <a:rPr lang="en-GB" sz="1200"/>
              <a:t>md)</a:t>
            </a:r>
          </a:p>
        </c:rich>
      </c:tx>
    </c:title>
    <c:plotArea>
      <c:layout/>
      <c:barChart>
        <c:barDir val="bar"/>
        <c:grouping val="stacked"/>
        <c:ser>
          <c:idx val="0"/>
          <c:order val="0"/>
          <c:tx>
            <c:strRef>
              <c:f>'t-test'!$J$7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</c:spPr>
          <c:val>
            <c:numRef>
              <c:f>'t-test'!$M$7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't-test'!$J$8</c:f>
              <c:strCache>
                <c:ptCount val="1"/>
                <c:pt idx="0">
                  <c:v>Q1</c:v>
                </c:pt>
              </c:strCache>
            </c:strRef>
          </c:tx>
          <c:spPr>
            <a:noFill/>
          </c:spPr>
          <c:errBars>
            <c:errBarType val="minus"/>
            <c:errValType val="percentage"/>
            <c:val val="100"/>
            <c:spPr>
              <a:ln w="25400"/>
            </c:spPr>
          </c:errBars>
          <c:val>
            <c:numRef>
              <c:f>'t-test'!$M$8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't-test'!$J$9</c:f>
              <c:strCache>
                <c:ptCount val="1"/>
                <c:pt idx="0">
                  <c:v>Med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chemeClr val="tx1"/>
              </a:solidFill>
            </a:ln>
          </c:spPr>
          <c:val>
            <c:numRef>
              <c:f>'t-test'!$M$9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't-test'!$J$10</c:f>
              <c:strCache>
                <c:ptCount val="1"/>
                <c:pt idx="0">
                  <c:v>Q3</c:v>
                </c:pt>
              </c:strCache>
            </c:strRef>
          </c:tx>
          <c:spPr>
            <a:solidFill>
              <a:srgbClr val="0070C0"/>
            </a:solidFill>
            <a:ln w="25400">
              <a:solidFill>
                <a:prstClr val="black"/>
              </a:solidFill>
            </a:ln>
          </c:spPr>
          <c:errBars>
            <c:errBarType val="plus"/>
            <c:errValType val="cust"/>
            <c:plus>
              <c:numRef>
                <c:f>'t-test'!$M$11</c:f>
                <c:numCache>
                  <c:formatCode>General</c:formatCode>
                  <c:ptCount val="1"/>
                  <c:pt idx="0">
                    <c:v>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25400"/>
            </c:spPr>
          </c:errBars>
          <c:val>
            <c:numRef>
              <c:f>'t-test'!$M$10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't-test'!$J$11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</c:spPr>
          <c:val>
            <c:numRef>
              <c:f>'t-test'!$M$11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overlap val="100"/>
        <c:axId val="144156160"/>
        <c:axId val="144157696"/>
      </c:barChart>
      <c:catAx>
        <c:axId val="144156160"/>
        <c:scaling>
          <c:orientation val="minMax"/>
        </c:scaling>
        <c:delete val="1"/>
        <c:axPos val="l"/>
        <c:tickLblPos val="none"/>
        <c:crossAx val="144157696"/>
        <c:crosses val="autoZero"/>
        <c:auto val="1"/>
        <c:lblAlgn val="ctr"/>
        <c:lblOffset val="100"/>
      </c:catAx>
      <c:valAx>
        <c:axId val="144157696"/>
        <c:scaling>
          <c:orientation val="minMax"/>
          <c:min val="-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Explanatory adjusted to +3</a:t>
                </a:r>
              </a:p>
            </c:rich>
          </c:tx>
        </c:title>
        <c:numFmt formatCode="General" sourceLinked="1"/>
        <c:tickLblPos val="nextTo"/>
        <c:crossAx val="144156160"/>
        <c:crosses val="autoZero"/>
        <c:crossBetween val="between"/>
      </c:valAx>
    </c:plotArea>
    <c:plotVisOnly val="1"/>
  </c:chart>
  <c:spPr>
    <a:solidFill>
      <a:schemeClr val="bg1"/>
    </a:solidFill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 sz="1200" b="1" i="0" u="none" strike="noStrike" baseline="0"/>
              <a:t>Fig. 6 : Chi2GoF </a:t>
            </a:r>
            <a:r>
              <a:rPr lang="en-GB" sz="1200"/>
              <a:t>Bar of</a:t>
            </a:r>
            <a:r>
              <a:rPr lang="en-GB" sz="1200" baseline="0"/>
              <a:t> Obs. vs Exp. Values </a:t>
            </a:r>
            <a:endParaRPr lang="en-GB" sz="1200"/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Chi2GoF!$F$7</c:f>
              <c:strCache>
                <c:ptCount val="1"/>
                <c:pt idx="0">
                  <c:v>Expected Freq</c:v>
                </c:pt>
              </c:strCache>
            </c:strRef>
          </c:tx>
          <c:cat>
            <c:strRef>
              <c:f>Chi2GoF!$G$6:$H$6</c:f>
              <c:strCache>
                <c:ptCount val="2"/>
                <c:pt idx="0">
                  <c:v>Succesful</c:v>
                </c:pt>
                <c:pt idx="1">
                  <c:v>Unsuccesful</c:v>
                </c:pt>
              </c:strCache>
            </c:strRef>
          </c:cat>
          <c:val>
            <c:numRef>
              <c:f>Chi2GoF!$G$7:$H$7</c:f>
              <c:numCache>
                <c:formatCode>0.00</c:formatCode>
                <c:ptCount val="2"/>
                <c:pt idx="0">
                  <c:v>57.894736842105267</c:v>
                </c:pt>
                <c:pt idx="1">
                  <c:v>42.105263157894733</c:v>
                </c:pt>
              </c:numCache>
            </c:numRef>
          </c:val>
        </c:ser>
        <c:ser>
          <c:idx val="1"/>
          <c:order val="1"/>
          <c:tx>
            <c:strRef>
              <c:f>Chi2GoF!$F$8</c:f>
              <c:strCache>
                <c:ptCount val="1"/>
                <c:pt idx="0">
                  <c:v>Observed Freq</c:v>
                </c:pt>
              </c:strCache>
            </c:strRef>
          </c:tx>
          <c:cat>
            <c:strRef>
              <c:f>Chi2GoF!$G$6:$H$6</c:f>
              <c:strCache>
                <c:ptCount val="2"/>
                <c:pt idx="0">
                  <c:v>Succesful</c:v>
                </c:pt>
                <c:pt idx="1">
                  <c:v>Unsuccesful</c:v>
                </c:pt>
              </c:strCache>
            </c:strRef>
          </c:cat>
          <c:val>
            <c:numRef>
              <c:f>Chi2GoF!$G$8:$H$8</c:f>
              <c:numCache>
                <c:formatCode>0.00</c:formatCode>
                <c:ptCount val="2"/>
                <c:pt idx="0">
                  <c:v>68.421052631578945</c:v>
                </c:pt>
                <c:pt idx="1">
                  <c:v>31.578947368421055</c:v>
                </c:pt>
              </c:numCache>
            </c:numRef>
          </c:val>
        </c:ser>
        <c:axId val="144186752"/>
        <c:axId val="144209024"/>
      </c:barChart>
      <c:catAx>
        <c:axId val="144186752"/>
        <c:scaling>
          <c:orientation val="minMax"/>
        </c:scaling>
        <c:axPos val="b"/>
        <c:tickLblPos val="nextTo"/>
        <c:crossAx val="144209024"/>
        <c:crosses val="autoZero"/>
        <c:auto val="1"/>
        <c:lblAlgn val="ctr"/>
        <c:lblOffset val="100"/>
      </c:catAx>
      <c:valAx>
        <c:axId val="144209024"/>
        <c:scaling>
          <c:orientation val="minMax"/>
          <c:max val="1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 sz="1000"/>
                  <a:t>Home</a:t>
                </a:r>
                <a:r>
                  <a:rPr lang="en-GB" sz="1000" baseline="0"/>
                  <a:t> w</a:t>
                </a:r>
                <a:r>
                  <a:rPr lang="en-GB" sz="1000"/>
                  <a:t>inning percent</a:t>
                </a:r>
              </a:p>
            </c:rich>
          </c:tx>
        </c:title>
        <c:numFmt formatCode="General" sourceLinked="0"/>
        <c:tickLblPos val="nextTo"/>
        <c:crossAx val="14418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 sz="1200" b="1" i="0" baseline="0"/>
              <a:t>Fig. 7 : Chi2Ind Bar of Obs. vs Exp. Values 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Yes Optim Obs.</c:v>
          </c:tx>
          <c:cat>
            <c:strRef>
              <c:f>Chi2Ind!$S$5:$W$5</c:f>
              <c:strCache>
                <c:ptCount val="5"/>
                <c:pt idx="0">
                  <c:v>B365D</c:v>
                </c:pt>
                <c:pt idx="1">
                  <c:v>BWD</c:v>
                </c:pt>
                <c:pt idx="2">
                  <c:v>LBD</c:v>
                </c:pt>
                <c:pt idx="3">
                  <c:v>PSD</c:v>
                </c:pt>
                <c:pt idx="4">
                  <c:v>WHD</c:v>
                </c:pt>
              </c:strCache>
            </c:strRef>
          </c:cat>
          <c:val>
            <c:numRef>
              <c:f>Chi2Ind!$S$6:$W$6</c:f>
              <c:numCache>
                <c:formatCode>General</c:formatCode>
                <c:ptCount val="5"/>
                <c:pt idx="0">
                  <c:v>9</c:v>
                </c:pt>
                <c:pt idx="1">
                  <c:v>10</c:v>
                </c:pt>
                <c:pt idx="2">
                  <c:v>13</c:v>
                </c:pt>
                <c:pt idx="3">
                  <c:v>0</c:v>
                </c:pt>
                <c:pt idx="4">
                  <c:v>18</c:v>
                </c:pt>
              </c:numCache>
            </c:numRef>
          </c:val>
        </c:ser>
        <c:ser>
          <c:idx val="1"/>
          <c:order val="1"/>
          <c:tx>
            <c:v>No Optim Obs.</c:v>
          </c:tx>
          <c:spPr>
            <a:solidFill>
              <a:srgbClr val="FF0000"/>
            </a:solidFill>
            <a:ln w="25400"/>
          </c:spPr>
          <c:cat>
            <c:strRef>
              <c:f>Chi2Ind!$S$5:$W$5</c:f>
              <c:strCache>
                <c:ptCount val="5"/>
                <c:pt idx="0">
                  <c:v>B365D</c:v>
                </c:pt>
                <c:pt idx="1">
                  <c:v>BWD</c:v>
                </c:pt>
                <c:pt idx="2">
                  <c:v>LBD</c:v>
                </c:pt>
                <c:pt idx="3">
                  <c:v>PSD</c:v>
                </c:pt>
                <c:pt idx="4">
                  <c:v>WHD</c:v>
                </c:pt>
              </c:strCache>
            </c:strRef>
          </c:cat>
          <c:val>
            <c:numRef>
              <c:f>Chi2Ind!$S$7:$W$7</c:f>
              <c:numCache>
                <c:formatCode>General</c:formatCode>
                <c:ptCount val="5"/>
                <c:pt idx="0">
                  <c:v>10</c:v>
                </c:pt>
                <c:pt idx="1">
                  <c:v>9</c:v>
                </c:pt>
                <c:pt idx="2">
                  <c:v>6</c:v>
                </c:pt>
                <c:pt idx="3">
                  <c:v>19</c:v>
                </c:pt>
                <c:pt idx="4">
                  <c:v>1</c:v>
                </c:pt>
              </c:numCache>
            </c:numRef>
          </c:val>
        </c:ser>
        <c:ser>
          <c:idx val="3"/>
          <c:order val="2"/>
          <c:tx>
            <c:v>Yes Optim Exp.</c:v>
          </c:tx>
          <c:spPr>
            <a:solidFill>
              <a:schemeClr val="accent5">
                <a:lumMod val="60000"/>
                <a:lumOff val="40000"/>
              </a:schemeClr>
            </a:solidFill>
          </c:spPr>
          <c:cat>
            <c:strRef>
              <c:f>Chi2Ind!$S$5:$W$5</c:f>
              <c:strCache>
                <c:ptCount val="5"/>
                <c:pt idx="0">
                  <c:v>B365D</c:v>
                </c:pt>
                <c:pt idx="1">
                  <c:v>BWD</c:v>
                </c:pt>
                <c:pt idx="2">
                  <c:v>LBD</c:v>
                </c:pt>
                <c:pt idx="3">
                  <c:v>PSD</c:v>
                </c:pt>
                <c:pt idx="4">
                  <c:v>WHD</c:v>
                </c:pt>
              </c:strCache>
            </c:strRef>
          </c:cat>
          <c:val>
            <c:numRef>
              <c:f>Chi2Ind!$S$12:$W$12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</c:ser>
        <c:ser>
          <c:idx val="4"/>
          <c:order val="3"/>
          <c:tx>
            <c:v>No Optim Exp.</c:v>
          </c:tx>
          <c:spPr>
            <a:solidFill>
              <a:schemeClr val="accent6">
                <a:lumMod val="60000"/>
                <a:lumOff val="40000"/>
              </a:schemeClr>
            </a:solidFill>
          </c:spPr>
          <c:cat>
            <c:strRef>
              <c:f>Chi2Ind!$S$5:$W$5</c:f>
              <c:strCache>
                <c:ptCount val="5"/>
                <c:pt idx="0">
                  <c:v>B365D</c:v>
                </c:pt>
                <c:pt idx="1">
                  <c:v>BWD</c:v>
                </c:pt>
                <c:pt idx="2">
                  <c:v>LBD</c:v>
                </c:pt>
                <c:pt idx="3">
                  <c:v>PSD</c:v>
                </c:pt>
                <c:pt idx="4">
                  <c:v>WHD</c:v>
                </c:pt>
              </c:strCache>
            </c:strRef>
          </c:cat>
          <c:val>
            <c:numRef>
              <c:f>Chi2Ind!$S$13:$W$13</c:f>
              <c:numCache>
                <c:formatCode>General</c:formatCode>
                <c:ptCount val="5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</c:numCache>
            </c:numRef>
          </c:val>
        </c:ser>
        <c:axId val="144707584"/>
        <c:axId val="144709120"/>
      </c:barChart>
      <c:catAx>
        <c:axId val="144707584"/>
        <c:scaling>
          <c:orientation val="minMax"/>
        </c:scaling>
        <c:axPos val="b"/>
        <c:majorTickMark val="none"/>
        <c:tickLblPos val="nextTo"/>
        <c:crossAx val="144709120"/>
        <c:crosses val="autoZero"/>
        <c:auto val="1"/>
        <c:lblAlgn val="ctr"/>
        <c:lblOffset val="100"/>
      </c:catAx>
      <c:valAx>
        <c:axId val="1447091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Optimism Counts</a:t>
                </a:r>
              </a:p>
            </c:rich>
          </c:tx>
        </c:title>
        <c:numFmt formatCode="General" sourceLinked="1"/>
        <c:majorTickMark val="none"/>
        <c:tickLblPos val="nextTo"/>
        <c:crossAx val="14470758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26</xdr:row>
      <xdr:rowOff>9525</xdr:rowOff>
    </xdr:from>
    <xdr:to>
      <xdr:col>9</xdr:col>
      <xdr:colOff>504825</xdr:colOff>
      <xdr:row>42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59</xdr:row>
      <xdr:rowOff>85725</xdr:rowOff>
    </xdr:from>
    <xdr:to>
      <xdr:col>9</xdr:col>
      <xdr:colOff>495300</xdr:colOff>
      <xdr:row>77</xdr:row>
      <xdr:rowOff>85725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101</xdr:row>
      <xdr:rowOff>19050</xdr:rowOff>
    </xdr:from>
    <xdr:to>
      <xdr:col>10</xdr:col>
      <xdr:colOff>0</xdr:colOff>
      <xdr:row>118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28574</xdr:colOff>
      <xdr:row>44</xdr:row>
      <xdr:rowOff>9525</xdr:rowOff>
    </xdr:from>
    <xdr:to>
      <xdr:col>9</xdr:col>
      <xdr:colOff>504824</xdr:colOff>
      <xdr:row>58</xdr:row>
      <xdr:rowOff>85725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25</xdr:row>
      <xdr:rowOff>38100</xdr:rowOff>
    </xdr:from>
    <xdr:to>
      <xdr:col>18</xdr:col>
      <xdr:colOff>9525</xdr:colOff>
      <xdr:row>39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5</xdr:row>
      <xdr:rowOff>9524</xdr:rowOff>
    </xdr:from>
    <xdr:to>
      <xdr:col>20</xdr:col>
      <xdr:colOff>47625</xdr:colOff>
      <xdr:row>20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409575</xdr:colOff>
      <xdr:row>11</xdr:row>
      <xdr:rowOff>171450</xdr:rowOff>
    </xdr:from>
    <xdr:to>
      <xdr:col>19</xdr:col>
      <xdr:colOff>352425</xdr:colOff>
      <xdr:row>23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9524</xdr:colOff>
      <xdr:row>23</xdr:row>
      <xdr:rowOff>190499</xdr:rowOff>
    </xdr:from>
    <xdr:to>
      <xdr:col>34</xdr:col>
      <xdr:colOff>609599</xdr:colOff>
      <xdr:row>38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O381"/>
  <sheetViews>
    <sheetView tabSelected="1" workbookViewId="0">
      <selection activeCell="M8" sqref="M8"/>
    </sheetView>
  </sheetViews>
  <sheetFormatPr defaultRowHeight="15"/>
  <cols>
    <col min="1" max="1" width="3.85546875" bestFit="1" customWidth="1"/>
    <col min="2" max="2" width="10.7109375" bestFit="1" customWidth="1"/>
    <col min="3" max="3" width="11.140625" bestFit="1" customWidth="1"/>
    <col min="4" max="4" width="10.7109375" bestFit="1" customWidth="1"/>
    <col min="5" max="6" width="5.5703125" bestFit="1" customWidth="1"/>
    <col min="7" max="7" width="4.140625" bestFit="1" customWidth="1"/>
    <col min="8" max="9" width="5.85546875" bestFit="1" customWidth="1"/>
    <col min="10" max="10" width="4.42578125" bestFit="1" customWidth="1"/>
    <col min="11" max="12" width="3.28515625" bestFit="1" customWidth="1"/>
    <col min="13" max="14" width="4.28515625" bestFit="1" customWidth="1"/>
    <col min="15" max="16" width="3.28515625" bestFit="1" customWidth="1"/>
    <col min="17" max="18" width="3.42578125" bestFit="1" customWidth="1"/>
    <col min="19" max="20" width="3.28515625" bestFit="1" customWidth="1"/>
    <col min="21" max="22" width="3.42578125" bestFit="1" customWidth="1"/>
    <col min="23" max="25" width="6.42578125" bestFit="1" customWidth="1"/>
    <col min="26" max="28" width="5.28515625" bestFit="1" customWidth="1"/>
    <col min="29" max="34" width="5" bestFit="1" customWidth="1"/>
    <col min="35" max="35" width="6" bestFit="1" customWidth="1"/>
    <col min="36" max="36" width="5" bestFit="1" customWidth="1"/>
    <col min="37" max="37" width="6" bestFit="1" customWidth="1"/>
    <col min="38" max="40" width="5.42578125" bestFit="1" customWidth="1"/>
    <col min="41" max="43" width="5" bestFit="1" customWidth="1"/>
    <col min="44" max="44" width="6" bestFit="1" customWidth="1"/>
    <col min="45" max="46" width="5" bestFit="1" customWidth="1"/>
    <col min="47" max="47" width="6.42578125" bestFit="1" customWidth="1"/>
    <col min="48" max="48" width="7.28515625" bestFit="1" customWidth="1"/>
    <col min="49" max="49" width="6.85546875" bestFit="1" customWidth="1"/>
    <col min="50" max="50" width="7.28515625" bestFit="1" customWidth="1"/>
    <col min="51" max="51" width="6.85546875" bestFit="1" customWidth="1"/>
    <col min="52" max="52" width="7.28515625" bestFit="1" customWidth="1"/>
    <col min="53" max="53" width="6.85546875" bestFit="1" customWidth="1"/>
    <col min="54" max="54" width="6" bestFit="1" customWidth="1"/>
    <col min="55" max="55" width="9.5703125" bestFit="1" customWidth="1"/>
    <col min="57" max="57" width="9.5703125" bestFit="1" customWidth="1"/>
    <col min="59" max="59" width="5.85546875" bestFit="1" customWidth="1"/>
    <col min="60" max="60" width="7" bestFit="1" customWidth="1"/>
    <col min="61" max="61" width="9.85546875" bestFit="1" customWidth="1"/>
    <col min="62" max="62" width="9.42578125" bestFit="1" customWidth="1"/>
    <col min="63" max="63" width="9.85546875" bestFit="1" customWidth="1"/>
    <col min="64" max="64" width="9.42578125" bestFit="1" customWidth="1"/>
    <col min="65" max="65" width="6" bestFit="1" customWidth="1"/>
    <col min="66" max="66" width="5.5703125" bestFit="1" customWidth="1"/>
    <col min="67" max="67" width="6" bestFit="1" customWidth="1"/>
  </cols>
  <sheetData>
    <row r="1" spans="1:67">
      <c r="A1" t="s">
        <v>0</v>
      </c>
      <c r="B1" t="s">
        <v>1</v>
      </c>
      <c r="C1" s="78" t="s">
        <v>2</v>
      </c>
      <c r="D1" s="78" t="s">
        <v>3</v>
      </c>
      <c r="E1" s="78" t="s">
        <v>4</v>
      </c>
      <c r="F1" s="78" t="s">
        <v>5</v>
      </c>
      <c r="G1" s="78" t="s">
        <v>6</v>
      </c>
      <c r="H1" t="s">
        <v>7</v>
      </c>
      <c r="I1" t="s">
        <v>8</v>
      </c>
      <c r="J1" t="s">
        <v>9</v>
      </c>
      <c r="K1" s="78" t="s">
        <v>10</v>
      </c>
      <c r="L1" s="78" t="s">
        <v>11</v>
      </c>
      <c r="M1" s="78" t="s">
        <v>12</v>
      </c>
      <c r="N1" s="78" t="s">
        <v>13</v>
      </c>
      <c r="O1" s="78" t="s">
        <v>14</v>
      </c>
      <c r="P1" s="78" t="s">
        <v>15</v>
      </c>
      <c r="Q1" s="78" t="s">
        <v>16</v>
      </c>
      <c r="R1" s="78" t="s">
        <v>17</v>
      </c>
      <c r="S1" s="78" t="s">
        <v>18</v>
      </c>
      <c r="T1" s="78" t="s">
        <v>19</v>
      </c>
      <c r="U1" t="s">
        <v>20</v>
      </c>
      <c r="V1" t="s">
        <v>21</v>
      </c>
      <c r="W1" s="78" t="s">
        <v>22</v>
      </c>
      <c r="X1" s="78" t="s">
        <v>23</v>
      </c>
      <c r="Y1" s="78" t="s">
        <v>24</v>
      </c>
      <c r="Z1" s="78" t="s">
        <v>25</v>
      </c>
      <c r="AA1" s="78" t="s">
        <v>26</v>
      </c>
      <c r="AB1" s="78" t="s">
        <v>27</v>
      </c>
      <c r="AC1" t="s">
        <v>28</v>
      </c>
      <c r="AD1" t="s">
        <v>29</v>
      </c>
      <c r="AE1" t="s">
        <v>30</v>
      </c>
      <c r="AF1" s="78" t="s">
        <v>31</v>
      </c>
      <c r="AG1" s="78" t="s">
        <v>32</v>
      </c>
      <c r="AH1" s="78" t="s">
        <v>33</v>
      </c>
      <c r="AI1" s="78" t="s">
        <v>34</v>
      </c>
      <c r="AJ1" s="78" t="s">
        <v>35</v>
      </c>
      <c r="AK1" s="78" t="s">
        <v>36</v>
      </c>
      <c r="AL1" s="78" t="s">
        <v>37</v>
      </c>
      <c r="AM1" s="78" t="s">
        <v>38</v>
      </c>
      <c r="AN1" s="78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456</v>
      </c>
      <c r="BD1" t="s">
        <v>457</v>
      </c>
      <c r="BE1" t="s">
        <v>458</v>
      </c>
      <c r="BF1" t="s">
        <v>459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</row>
    <row r="2" spans="1:67">
      <c r="A2" t="s">
        <v>63</v>
      </c>
      <c r="B2" s="77">
        <v>41510</v>
      </c>
      <c r="C2" t="s">
        <v>64</v>
      </c>
      <c r="D2" t="s">
        <v>65</v>
      </c>
      <c r="E2">
        <v>0</v>
      </c>
      <c r="F2">
        <v>1</v>
      </c>
      <c r="G2" t="s">
        <v>66</v>
      </c>
      <c r="H2">
        <v>0</v>
      </c>
      <c r="I2">
        <v>0</v>
      </c>
      <c r="J2" t="s">
        <v>67</v>
      </c>
      <c r="K2">
        <v>4</v>
      </c>
      <c r="L2">
        <v>11</v>
      </c>
      <c r="M2">
        <v>1</v>
      </c>
      <c r="N2">
        <v>4</v>
      </c>
      <c r="O2">
        <v>21</v>
      </c>
      <c r="P2">
        <v>21</v>
      </c>
      <c r="Q2">
        <v>4</v>
      </c>
      <c r="R2">
        <v>10</v>
      </c>
      <c r="S2">
        <v>2</v>
      </c>
      <c r="T2">
        <v>3</v>
      </c>
      <c r="U2">
        <v>1</v>
      </c>
      <c r="V2">
        <v>0</v>
      </c>
      <c r="W2">
        <v>8</v>
      </c>
      <c r="X2">
        <v>4</v>
      </c>
      <c r="Y2">
        <v>1.45</v>
      </c>
      <c r="Z2">
        <v>7.25</v>
      </c>
      <c r="AA2">
        <v>4</v>
      </c>
      <c r="AB2">
        <v>1.48</v>
      </c>
      <c r="AC2">
        <v>5.5</v>
      </c>
      <c r="AD2">
        <v>4</v>
      </c>
      <c r="AE2">
        <v>1.55</v>
      </c>
      <c r="AF2">
        <v>6</v>
      </c>
      <c r="AG2">
        <v>4</v>
      </c>
      <c r="AH2">
        <v>1.53</v>
      </c>
      <c r="AI2">
        <v>7.94</v>
      </c>
      <c r="AJ2">
        <v>4.0199999999999996</v>
      </c>
      <c r="AK2">
        <v>1.55</v>
      </c>
      <c r="AL2">
        <v>7</v>
      </c>
      <c r="AM2">
        <v>4</v>
      </c>
      <c r="AN2">
        <v>1.5</v>
      </c>
      <c r="AO2">
        <v>7.5</v>
      </c>
      <c r="AP2">
        <v>3.8</v>
      </c>
      <c r="AQ2">
        <v>1.44</v>
      </c>
      <c r="AR2">
        <v>7.5</v>
      </c>
      <c r="AS2">
        <v>4</v>
      </c>
      <c r="AT2">
        <v>1.55</v>
      </c>
      <c r="AU2">
        <v>32</v>
      </c>
      <c r="AV2">
        <v>8.1</v>
      </c>
      <c r="AW2">
        <v>6.96</v>
      </c>
      <c r="AX2">
        <v>4.33</v>
      </c>
      <c r="AY2">
        <v>3.98</v>
      </c>
      <c r="AZ2">
        <v>1.55</v>
      </c>
      <c r="BA2">
        <v>1.5</v>
      </c>
      <c r="BB2">
        <v>30</v>
      </c>
      <c r="BC2">
        <v>2.08</v>
      </c>
      <c r="BD2">
        <v>2</v>
      </c>
      <c r="BE2">
        <v>1.9</v>
      </c>
      <c r="BF2">
        <v>1.8</v>
      </c>
      <c r="BG2">
        <v>19</v>
      </c>
      <c r="BH2">
        <v>1</v>
      </c>
      <c r="BI2">
        <v>2.09</v>
      </c>
      <c r="BJ2">
        <v>2.04</v>
      </c>
      <c r="BK2">
        <v>1.88</v>
      </c>
      <c r="BL2">
        <v>1.83</v>
      </c>
      <c r="BM2">
        <v>8.3800000000000008</v>
      </c>
      <c r="BN2">
        <v>4.53</v>
      </c>
      <c r="BO2">
        <v>1.47</v>
      </c>
    </row>
    <row r="3" spans="1:67">
      <c r="A3" t="s">
        <v>63</v>
      </c>
      <c r="B3" s="77">
        <v>41510</v>
      </c>
      <c r="C3" t="s">
        <v>68</v>
      </c>
      <c r="D3" t="s">
        <v>69</v>
      </c>
      <c r="E3">
        <v>2</v>
      </c>
      <c r="F3">
        <v>1</v>
      </c>
      <c r="G3" t="s">
        <v>70</v>
      </c>
      <c r="H3">
        <v>1</v>
      </c>
      <c r="I3">
        <v>1</v>
      </c>
      <c r="J3" t="s">
        <v>67</v>
      </c>
      <c r="K3">
        <v>14</v>
      </c>
      <c r="L3">
        <v>15</v>
      </c>
      <c r="M3">
        <v>8</v>
      </c>
      <c r="N3">
        <v>5</v>
      </c>
      <c r="O3">
        <v>11</v>
      </c>
      <c r="P3">
        <v>14</v>
      </c>
      <c r="Q3">
        <v>6</v>
      </c>
      <c r="R3">
        <v>5</v>
      </c>
      <c r="S3">
        <v>2</v>
      </c>
      <c r="T3">
        <v>3</v>
      </c>
      <c r="U3">
        <v>0</v>
      </c>
      <c r="V3">
        <v>0</v>
      </c>
      <c r="W3">
        <v>4.75</v>
      </c>
      <c r="X3">
        <v>3.6</v>
      </c>
      <c r="Y3">
        <v>1.75</v>
      </c>
      <c r="Z3">
        <v>4.75</v>
      </c>
      <c r="AA3">
        <v>3.75</v>
      </c>
      <c r="AB3">
        <v>1.7</v>
      </c>
      <c r="AC3">
        <v>4.7</v>
      </c>
      <c r="AD3">
        <v>3.6</v>
      </c>
      <c r="AE3">
        <v>1.7</v>
      </c>
      <c r="AF3">
        <v>4.8</v>
      </c>
      <c r="AG3">
        <v>3.6</v>
      </c>
      <c r="AH3">
        <v>1.75</v>
      </c>
      <c r="AI3">
        <v>5.15</v>
      </c>
      <c r="AJ3">
        <v>3.69</v>
      </c>
      <c r="AK3">
        <v>1.79</v>
      </c>
      <c r="AL3">
        <v>4.75</v>
      </c>
      <c r="AM3">
        <v>3.6</v>
      </c>
      <c r="AN3">
        <v>1.75</v>
      </c>
      <c r="AO3">
        <v>4.5</v>
      </c>
      <c r="AP3">
        <v>3.75</v>
      </c>
      <c r="AQ3">
        <v>1.73</v>
      </c>
      <c r="AR3">
        <v>4.8</v>
      </c>
      <c r="AS3">
        <v>3.6</v>
      </c>
      <c r="AT3">
        <v>1.8</v>
      </c>
      <c r="AU3">
        <v>32</v>
      </c>
      <c r="AV3">
        <v>5.2</v>
      </c>
      <c r="AW3">
        <v>4.6399999999999997</v>
      </c>
      <c r="AX3">
        <v>3.85</v>
      </c>
      <c r="AY3">
        <v>3.61</v>
      </c>
      <c r="AZ3">
        <v>1.8</v>
      </c>
      <c r="BA3">
        <v>1.74</v>
      </c>
      <c r="BB3">
        <v>30</v>
      </c>
      <c r="BC3">
        <v>2.06</v>
      </c>
      <c r="BD3">
        <v>1.97</v>
      </c>
      <c r="BE3">
        <v>1.92</v>
      </c>
      <c r="BF3">
        <v>1.82</v>
      </c>
      <c r="BG3">
        <v>18</v>
      </c>
      <c r="BH3">
        <v>1</v>
      </c>
      <c r="BI3">
        <v>1.69</v>
      </c>
      <c r="BJ3">
        <v>1.58</v>
      </c>
      <c r="BK3">
        <v>2.5099999999999998</v>
      </c>
      <c r="BL3">
        <v>2.42</v>
      </c>
      <c r="BM3">
        <v>5.75</v>
      </c>
      <c r="BN3">
        <v>3.59</v>
      </c>
      <c r="BO3">
        <v>1.76</v>
      </c>
    </row>
    <row r="4" spans="1:67">
      <c r="A4" t="s">
        <v>63</v>
      </c>
      <c r="B4" s="77">
        <v>41511</v>
      </c>
      <c r="C4" t="s">
        <v>71</v>
      </c>
      <c r="D4" t="s">
        <v>72</v>
      </c>
      <c r="E4">
        <v>2</v>
      </c>
      <c r="F4">
        <v>1</v>
      </c>
      <c r="G4" t="s">
        <v>70</v>
      </c>
      <c r="H4">
        <v>1</v>
      </c>
      <c r="I4">
        <v>1</v>
      </c>
      <c r="J4" t="s">
        <v>67</v>
      </c>
      <c r="K4">
        <v>23</v>
      </c>
      <c r="L4">
        <v>11</v>
      </c>
      <c r="M4">
        <v>7</v>
      </c>
      <c r="N4">
        <v>2</v>
      </c>
      <c r="O4">
        <v>19</v>
      </c>
      <c r="P4">
        <v>17</v>
      </c>
      <c r="Q4">
        <v>10</v>
      </c>
      <c r="R4">
        <v>3</v>
      </c>
      <c r="S4">
        <v>2</v>
      </c>
      <c r="T4">
        <v>4</v>
      </c>
      <c r="U4">
        <v>0</v>
      </c>
      <c r="V4">
        <v>0</v>
      </c>
      <c r="W4">
        <v>2.5</v>
      </c>
      <c r="X4">
        <v>3</v>
      </c>
      <c r="Y4">
        <v>3</v>
      </c>
      <c r="Z4">
        <v>2.4500000000000002</v>
      </c>
      <c r="AA4">
        <v>3.1</v>
      </c>
      <c r="AB4">
        <v>3</v>
      </c>
      <c r="AC4">
        <v>2.2999999999999998</v>
      </c>
      <c r="AD4">
        <v>3.2</v>
      </c>
      <c r="AE4">
        <v>3</v>
      </c>
      <c r="AF4">
        <v>2.37</v>
      </c>
      <c r="AG4">
        <v>3.2</v>
      </c>
      <c r="AH4">
        <v>3</v>
      </c>
      <c r="AI4">
        <v>2.56</v>
      </c>
      <c r="AJ4">
        <v>3.18</v>
      </c>
      <c r="AK4">
        <v>3.18</v>
      </c>
      <c r="AL4">
        <v>2.5</v>
      </c>
      <c r="AM4">
        <v>3</v>
      </c>
      <c r="AN4">
        <v>3</v>
      </c>
      <c r="AO4">
        <v>2.4</v>
      </c>
      <c r="AP4">
        <v>3.13</v>
      </c>
      <c r="AQ4">
        <v>2.88</v>
      </c>
      <c r="AR4">
        <v>2.5499999999999998</v>
      </c>
      <c r="AS4">
        <v>3.2</v>
      </c>
      <c r="AT4">
        <v>3.1</v>
      </c>
      <c r="AU4">
        <v>32</v>
      </c>
      <c r="AV4">
        <v>2.56</v>
      </c>
      <c r="AW4">
        <v>2.41</v>
      </c>
      <c r="AX4">
        <v>3.25</v>
      </c>
      <c r="AY4">
        <v>3.15</v>
      </c>
      <c r="AZ4">
        <v>3.25</v>
      </c>
      <c r="BA4">
        <v>2.99</v>
      </c>
      <c r="BB4">
        <v>30</v>
      </c>
      <c r="BC4">
        <v>2.42</v>
      </c>
      <c r="BD4">
        <v>2.31</v>
      </c>
      <c r="BE4">
        <v>1.69</v>
      </c>
      <c r="BF4">
        <v>1.6</v>
      </c>
      <c r="BG4">
        <v>16</v>
      </c>
      <c r="BH4">
        <v>0</v>
      </c>
      <c r="BI4">
        <v>1.78</v>
      </c>
      <c r="BJ4">
        <v>1.72</v>
      </c>
      <c r="BK4">
        <v>2.21</v>
      </c>
      <c r="BL4">
        <v>2.14</v>
      </c>
      <c r="BM4">
        <v>2.54</v>
      </c>
      <c r="BN4">
        <v>3.22</v>
      </c>
      <c r="BO4">
        <v>3.18</v>
      </c>
    </row>
    <row r="5" spans="1:67">
      <c r="A5" t="s">
        <v>63</v>
      </c>
      <c r="B5" s="77">
        <v>41511</v>
      </c>
      <c r="C5" t="s">
        <v>73</v>
      </c>
      <c r="D5" t="s">
        <v>74</v>
      </c>
      <c r="E5">
        <v>2</v>
      </c>
      <c r="F5">
        <v>0</v>
      </c>
      <c r="G5" t="s">
        <v>70</v>
      </c>
      <c r="H5">
        <v>0</v>
      </c>
      <c r="I5">
        <v>0</v>
      </c>
      <c r="J5" t="s">
        <v>67</v>
      </c>
      <c r="K5">
        <v>20</v>
      </c>
      <c r="L5">
        <v>4</v>
      </c>
      <c r="M5">
        <v>5</v>
      </c>
      <c r="N5">
        <v>0</v>
      </c>
      <c r="O5">
        <v>15</v>
      </c>
      <c r="P5">
        <v>9</v>
      </c>
      <c r="Q5">
        <v>12</v>
      </c>
      <c r="R5">
        <v>2</v>
      </c>
      <c r="S5">
        <v>2</v>
      </c>
      <c r="T5">
        <v>3</v>
      </c>
      <c r="U5">
        <v>0</v>
      </c>
      <c r="V5">
        <v>0</v>
      </c>
      <c r="W5">
        <v>1.62</v>
      </c>
      <c r="X5">
        <v>3.75</v>
      </c>
      <c r="Y5">
        <v>5.5</v>
      </c>
      <c r="Z5">
        <v>1.6</v>
      </c>
      <c r="AA5">
        <v>3.75</v>
      </c>
      <c r="AB5">
        <v>5.75</v>
      </c>
      <c r="AC5">
        <v>1.65</v>
      </c>
      <c r="AD5">
        <v>3.7</v>
      </c>
      <c r="AE5">
        <v>4.9000000000000004</v>
      </c>
      <c r="AF5">
        <v>1.61</v>
      </c>
      <c r="AG5">
        <v>3.75</v>
      </c>
      <c r="AH5">
        <v>5.5</v>
      </c>
      <c r="AI5">
        <v>1.65</v>
      </c>
      <c r="AJ5">
        <v>3.95</v>
      </c>
      <c r="AK5">
        <v>6.17</v>
      </c>
      <c r="AL5">
        <v>1.7</v>
      </c>
      <c r="AM5">
        <v>3.75</v>
      </c>
      <c r="AN5">
        <v>4.8</v>
      </c>
      <c r="AO5">
        <v>1.62</v>
      </c>
      <c r="AP5">
        <v>3.6</v>
      </c>
      <c r="AQ5">
        <v>5.25</v>
      </c>
      <c r="AR5">
        <v>1.67</v>
      </c>
      <c r="AS5">
        <v>3.9</v>
      </c>
      <c r="AT5">
        <v>5.75</v>
      </c>
      <c r="AU5">
        <v>32</v>
      </c>
      <c r="AV5">
        <v>1.7</v>
      </c>
      <c r="AW5">
        <v>1.65</v>
      </c>
      <c r="AX5">
        <v>3.95</v>
      </c>
      <c r="AY5">
        <v>3.74</v>
      </c>
      <c r="AZ5">
        <v>6.17</v>
      </c>
      <c r="BA5">
        <v>5.27</v>
      </c>
      <c r="BB5">
        <v>30</v>
      </c>
      <c r="BC5">
        <v>2.02</v>
      </c>
      <c r="BD5">
        <v>1.93</v>
      </c>
      <c r="BE5">
        <v>1.95</v>
      </c>
      <c r="BF5">
        <v>1.87</v>
      </c>
      <c r="BG5">
        <v>19</v>
      </c>
      <c r="BH5">
        <v>-1</v>
      </c>
      <c r="BI5">
        <v>2.2599999999999998</v>
      </c>
      <c r="BJ5">
        <v>2.14</v>
      </c>
      <c r="BK5">
        <v>1.78</v>
      </c>
      <c r="BL5">
        <v>1.73</v>
      </c>
      <c r="BM5">
        <v>1.65</v>
      </c>
      <c r="BN5">
        <v>4.05</v>
      </c>
      <c r="BO5">
        <v>5.92</v>
      </c>
    </row>
    <row r="6" spans="1:67">
      <c r="A6" t="s">
        <v>63</v>
      </c>
      <c r="B6" s="77">
        <v>41511</v>
      </c>
      <c r="C6" t="s">
        <v>75</v>
      </c>
      <c r="D6" t="s">
        <v>76</v>
      </c>
      <c r="E6">
        <v>2</v>
      </c>
      <c r="F6">
        <v>1</v>
      </c>
      <c r="G6" t="s">
        <v>70</v>
      </c>
      <c r="H6">
        <v>2</v>
      </c>
      <c r="I6">
        <v>0</v>
      </c>
      <c r="J6" t="s">
        <v>70</v>
      </c>
      <c r="K6">
        <v>20</v>
      </c>
      <c r="L6">
        <v>7</v>
      </c>
      <c r="M6">
        <v>6</v>
      </c>
      <c r="N6">
        <v>3</v>
      </c>
      <c r="O6">
        <v>15</v>
      </c>
      <c r="P6">
        <v>13</v>
      </c>
      <c r="Q6">
        <v>4</v>
      </c>
      <c r="R6">
        <v>4</v>
      </c>
      <c r="S6">
        <v>4</v>
      </c>
      <c r="T6">
        <v>3</v>
      </c>
      <c r="U6">
        <v>0</v>
      </c>
      <c r="V6">
        <v>0</v>
      </c>
      <c r="W6">
        <v>2</v>
      </c>
      <c r="X6">
        <v>3.4</v>
      </c>
      <c r="Y6">
        <v>3.75</v>
      </c>
      <c r="Z6">
        <v>1.95</v>
      </c>
      <c r="AA6">
        <v>3.4</v>
      </c>
      <c r="AB6">
        <v>3.9</v>
      </c>
      <c r="AC6">
        <v>1.9</v>
      </c>
      <c r="AD6">
        <v>3.45</v>
      </c>
      <c r="AE6">
        <v>3.8</v>
      </c>
      <c r="AF6">
        <v>1.85</v>
      </c>
      <c r="AG6">
        <v>3.5</v>
      </c>
      <c r="AH6">
        <v>4.2</v>
      </c>
      <c r="AI6">
        <v>2</v>
      </c>
      <c r="AJ6">
        <v>3.48</v>
      </c>
      <c r="AK6">
        <v>4.2</v>
      </c>
      <c r="AL6">
        <v>2</v>
      </c>
      <c r="AM6">
        <v>3.4</v>
      </c>
      <c r="AN6">
        <v>3.75</v>
      </c>
      <c r="AO6">
        <v>1.95</v>
      </c>
      <c r="AP6">
        <v>3.3</v>
      </c>
      <c r="AQ6">
        <v>3.8</v>
      </c>
      <c r="AR6">
        <v>2</v>
      </c>
      <c r="AS6">
        <v>3.4</v>
      </c>
      <c r="AT6">
        <v>4.0999999999999996</v>
      </c>
      <c r="AU6">
        <v>32</v>
      </c>
      <c r="AV6">
        <v>2</v>
      </c>
      <c r="AW6">
        <v>1.95</v>
      </c>
      <c r="AX6">
        <v>3.55</v>
      </c>
      <c r="AY6">
        <v>3.35</v>
      </c>
      <c r="AZ6">
        <v>4.25</v>
      </c>
      <c r="BA6">
        <v>3.94</v>
      </c>
      <c r="BB6">
        <v>30</v>
      </c>
      <c r="BC6">
        <v>2.12</v>
      </c>
      <c r="BD6">
        <v>2.0099999999999998</v>
      </c>
      <c r="BE6">
        <v>1.89</v>
      </c>
      <c r="BF6">
        <v>1.79</v>
      </c>
      <c r="BG6">
        <v>16</v>
      </c>
      <c r="BH6">
        <v>-0.5</v>
      </c>
      <c r="BI6">
        <v>2</v>
      </c>
      <c r="BJ6">
        <v>1.96</v>
      </c>
      <c r="BK6">
        <v>1.94</v>
      </c>
      <c r="BL6">
        <v>1.91</v>
      </c>
      <c r="BM6">
        <v>1.93</v>
      </c>
      <c r="BN6">
        <v>3.48</v>
      </c>
      <c r="BO6">
        <v>4.63</v>
      </c>
    </row>
    <row r="7" spans="1:67">
      <c r="A7" t="s">
        <v>63</v>
      </c>
      <c r="B7" s="77">
        <v>41511</v>
      </c>
      <c r="C7" t="s">
        <v>77</v>
      </c>
      <c r="D7" t="s">
        <v>78</v>
      </c>
      <c r="E7">
        <v>0</v>
      </c>
      <c r="F7">
        <v>2</v>
      </c>
      <c r="G7" t="s">
        <v>66</v>
      </c>
      <c r="H7">
        <v>0</v>
      </c>
      <c r="I7">
        <v>0</v>
      </c>
      <c r="J7" t="s">
        <v>67</v>
      </c>
      <c r="K7">
        <v>5</v>
      </c>
      <c r="L7">
        <v>17</v>
      </c>
      <c r="M7">
        <v>3</v>
      </c>
      <c r="N7">
        <v>6</v>
      </c>
      <c r="O7">
        <v>12</v>
      </c>
      <c r="P7">
        <v>18</v>
      </c>
      <c r="Q7">
        <v>2</v>
      </c>
      <c r="R7">
        <v>8</v>
      </c>
      <c r="S7">
        <v>1</v>
      </c>
      <c r="T7">
        <v>2</v>
      </c>
      <c r="U7">
        <v>0</v>
      </c>
      <c r="V7">
        <v>0</v>
      </c>
      <c r="W7">
        <v>3.6</v>
      </c>
      <c r="X7">
        <v>3.5</v>
      </c>
      <c r="Y7">
        <v>2</v>
      </c>
      <c r="Z7">
        <v>3.7</v>
      </c>
      <c r="AA7">
        <v>3.4</v>
      </c>
      <c r="AB7">
        <v>2</v>
      </c>
      <c r="AC7">
        <v>3.6</v>
      </c>
      <c r="AD7">
        <v>3.3</v>
      </c>
      <c r="AE7">
        <v>2</v>
      </c>
      <c r="AF7">
        <v>3.75</v>
      </c>
      <c r="AG7">
        <v>3.4</v>
      </c>
      <c r="AH7">
        <v>2</v>
      </c>
      <c r="AI7">
        <v>3.97</v>
      </c>
      <c r="AJ7">
        <v>3.61</v>
      </c>
      <c r="AK7">
        <v>2.04</v>
      </c>
      <c r="AL7">
        <v>3.4</v>
      </c>
      <c r="AM7">
        <v>3.6</v>
      </c>
      <c r="AN7">
        <v>2.0499999999999998</v>
      </c>
      <c r="AO7">
        <v>3.6</v>
      </c>
      <c r="AP7">
        <v>3.4</v>
      </c>
      <c r="AQ7">
        <v>2</v>
      </c>
      <c r="AR7">
        <v>3.75</v>
      </c>
      <c r="AS7">
        <v>3.6</v>
      </c>
      <c r="AT7">
        <v>2.0499999999999998</v>
      </c>
      <c r="AU7">
        <v>32</v>
      </c>
      <c r="AV7">
        <v>4</v>
      </c>
      <c r="AW7">
        <v>3.62</v>
      </c>
      <c r="AX7">
        <v>3.61</v>
      </c>
      <c r="AY7">
        <v>3.44</v>
      </c>
      <c r="AZ7">
        <v>2.1</v>
      </c>
      <c r="BA7">
        <v>2</v>
      </c>
      <c r="BB7">
        <v>30</v>
      </c>
      <c r="BC7">
        <v>1.85</v>
      </c>
      <c r="BD7">
        <v>1.78</v>
      </c>
      <c r="BE7">
        <v>2.16</v>
      </c>
      <c r="BF7">
        <v>2.02</v>
      </c>
      <c r="BG7">
        <v>16</v>
      </c>
      <c r="BH7">
        <v>0.5</v>
      </c>
      <c r="BI7">
        <v>1.92</v>
      </c>
      <c r="BJ7">
        <v>1.88</v>
      </c>
      <c r="BK7">
        <v>2.04</v>
      </c>
      <c r="BL7">
        <v>1.99</v>
      </c>
      <c r="BM7">
        <v>4.46</v>
      </c>
      <c r="BN7">
        <v>3.6</v>
      </c>
      <c r="BO7">
        <v>1.93</v>
      </c>
    </row>
    <row r="8" spans="1:67">
      <c r="A8" t="s">
        <v>63</v>
      </c>
      <c r="B8" s="77">
        <v>41511</v>
      </c>
      <c r="C8" t="s">
        <v>79</v>
      </c>
      <c r="D8" t="s">
        <v>80</v>
      </c>
      <c r="E8">
        <v>3</v>
      </c>
      <c r="F8">
        <v>0</v>
      </c>
      <c r="G8" t="s">
        <v>70</v>
      </c>
      <c r="H8">
        <v>2</v>
      </c>
      <c r="I8">
        <v>0</v>
      </c>
      <c r="J8" t="s">
        <v>70</v>
      </c>
      <c r="K8">
        <v>16</v>
      </c>
      <c r="L8">
        <v>8</v>
      </c>
      <c r="M8">
        <v>6</v>
      </c>
      <c r="N8">
        <v>2</v>
      </c>
      <c r="O8">
        <v>10</v>
      </c>
      <c r="P8">
        <v>14</v>
      </c>
      <c r="Q8">
        <v>0</v>
      </c>
      <c r="R8">
        <v>5</v>
      </c>
      <c r="S8">
        <v>1</v>
      </c>
      <c r="T8">
        <v>3</v>
      </c>
      <c r="U8">
        <v>0</v>
      </c>
      <c r="V8">
        <v>0</v>
      </c>
      <c r="W8">
        <v>1.36</v>
      </c>
      <c r="X8">
        <v>4.75</v>
      </c>
      <c r="Y8">
        <v>8.5</v>
      </c>
      <c r="Z8">
        <v>1.33</v>
      </c>
      <c r="AA8">
        <v>5</v>
      </c>
      <c r="AB8">
        <v>9</v>
      </c>
      <c r="AC8">
        <v>1.4</v>
      </c>
      <c r="AD8">
        <v>4.4000000000000004</v>
      </c>
      <c r="AE8">
        <v>7.3</v>
      </c>
      <c r="AF8">
        <v>1.4</v>
      </c>
      <c r="AG8">
        <v>4.5</v>
      </c>
      <c r="AH8">
        <v>7.5</v>
      </c>
      <c r="AI8">
        <v>1.39</v>
      </c>
      <c r="AJ8">
        <v>4.95</v>
      </c>
      <c r="AK8">
        <v>9.83</v>
      </c>
      <c r="AL8">
        <v>1.4</v>
      </c>
      <c r="AM8">
        <v>4.5</v>
      </c>
      <c r="AN8">
        <v>8</v>
      </c>
      <c r="AO8">
        <v>1.36</v>
      </c>
      <c r="AP8">
        <v>4.5</v>
      </c>
      <c r="AQ8">
        <v>7.5</v>
      </c>
      <c r="AR8">
        <v>1.4</v>
      </c>
      <c r="AS8">
        <v>4.8</v>
      </c>
      <c r="AT8">
        <v>9</v>
      </c>
      <c r="AU8">
        <v>32</v>
      </c>
      <c r="AV8">
        <v>1.4</v>
      </c>
      <c r="AW8">
        <v>1.38</v>
      </c>
      <c r="AX8">
        <v>5</v>
      </c>
      <c r="AY8">
        <v>4.6100000000000003</v>
      </c>
      <c r="AZ8">
        <v>9.83</v>
      </c>
      <c r="BA8">
        <v>8.1</v>
      </c>
      <c r="BB8">
        <v>30</v>
      </c>
      <c r="BC8">
        <v>1.77</v>
      </c>
      <c r="BD8">
        <v>1.71</v>
      </c>
      <c r="BE8">
        <v>2.2200000000000002</v>
      </c>
      <c r="BF8">
        <v>2.12</v>
      </c>
      <c r="BG8">
        <v>19</v>
      </c>
      <c r="BH8">
        <v>-1.5</v>
      </c>
      <c r="BI8">
        <v>2.2000000000000002</v>
      </c>
      <c r="BJ8">
        <v>2.14</v>
      </c>
      <c r="BK8">
        <v>1.78</v>
      </c>
      <c r="BL8">
        <v>1.73</v>
      </c>
      <c r="BM8">
        <v>1.4</v>
      </c>
      <c r="BN8">
        <v>5.26</v>
      </c>
      <c r="BO8">
        <v>8.4700000000000006</v>
      </c>
    </row>
    <row r="9" spans="1:67">
      <c r="A9" t="s">
        <v>63</v>
      </c>
      <c r="B9" s="77">
        <v>41511</v>
      </c>
      <c r="C9" t="s">
        <v>81</v>
      </c>
      <c r="D9" t="s">
        <v>82</v>
      </c>
      <c r="E9">
        <v>0</v>
      </c>
      <c r="F9">
        <v>0</v>
      </c>
      <c r="G9" t="s">
        <v>67</v>
      </c>
      <c r="H9">
        <v>0</v>
      </c>
      <c r="I9">
        <v>0</v>
      </c>
      <c r="J9" t="s">
        <v>67</v>
      </c>
      <c r="K9">
        <v>14</v>
      </c>
      <c r="L9">
        <v>16</v>
      </c>
      <c r="M9">
        <v>4</v>
      </c>
      <c r="N9">
        <v>3</v>
      </c>
      <c r="O9">
        <v>17</v>
      </c>
      <c r="P9">
        <v>17</v>
      </c>
      <c r="Q9">
        <v>7</v>
      </c>
      <c r="R9">
        <v>3</v>
      </c>
      <c r="S9">
        <v>2</v>
      </c>
      <c r="T9">
        <v>3</v>
      </c>
      <c r="U9">
        <v>0</v>
      </c>
      <c r="V9">
        <v>0</v>
      </c>
      <c r="W9">
        <v>1.85</v>
      </c>
      <c r="X9">
        <v>3.5</v>
      </c>
      <c r="Y9">
        <v>4.2</v>
      </c>
      <c r="Z9">
        <v>1.83</v>
      </c>
      <c r="AA9">
        <v>3.4</v>
      </c>
      <c r="AB9">
        <v>4.5</v>
      </c>
      <c r="AC9">
        <v>1.9</v>
      </c>
      <c r="AD9">
        <v>3.45</v>
      </c>
      <c r="AE9">
        <v>3.8</v>
      </c>
      <c r="AF9">
        <v>1.9</v>
      </c>
      <c r="AG9">
        <v>3.4</v>
      </c>
      <c r="AH9">
        <v>4</v>
      </c>
      <c r="AI9">
        <v>1.85</v>
      </c>
      <c r="AJ9">
        <v>3.6</v>
      </c>
      <c r="AK9">
        <v>4.8499999999999996</v>
      </c>
      <c r="AL9">
        <v>1.85</v>
      </c>
      <c r="AM9">
        <v>3.4</v>
      </c>
      <c r="AN9">
        <v>4.4000000000000004</v>
      </c>
      <c r="AO9">
        <v>1.83</v>
      </c>
      <c r="AP9">
        <v>3.3</v>
      </c>
      <c r="AQ9">
        <v>4.33</v>
      </c>
      <c r="AR9">
        <v>1.9</v>
      </c>
      <c r="AS9">
        <v>3.5</v>
      </c>
      <c r="AT9">
        <v>4.5999999999999996</v>
      </c>
      <c r="AU9">
        <v>32</v>
      </c>
      <c r="AV9">
        <v>1.92</v>
      </c>
      <c r="AW9">
        <v>1.85</v>
      </c>
      <c r="AX9">
        <v>3.57</v>
      </c>
      <c r="AY9">
        <v>3.39</v>
      </c>
      <c r="AZ9">
        <v>4.8499999999999996</v>
      </c>
      <c r="BA9">
        <v>4.3600000000000003</v>
      </c>
      <c r="BB9">
        <v>30</v>
      </c>
      <c r="BC9">
        <v>2.2999999999999998</v>
      </c>
      <c r="BD9">
        <v>2.19</v>
      </c>
      <c r="BE9">
        <v>1.76</v>
      </c>
      <c r="BF9">
        <v>1.67</v>
      </c>
      <c r="BG9">
        <v>16</v>
      </c>
      <c r="BH9">
        <v>-0.25</v>
      </c>
      <c r="BI9">
        <v>1.65</v>
      </c>
      <c r="BJ9">
        <v>1.6</v>
      </c>
      <c r="BK9">
        <v>2.4900000000000002</v>
      </c>
      <c r="BL9">
        <v>2.39</v>
      </c>
      <c r="BM9">
        <v>1.84</v>
      </c>
      <c r="BN9">
        <v>3.5</v>
      </c>
      <c r="BO9">
        <v>5.23</v>
      </c>
    </row>
    <row r="10" spans="1:67">
      <c r="A10" t="s">
        <v>63</v>
      </c>
      <c r="B10" s="77">
        <v>41511</v>
      </c>
      <c r="C10" t="s">
        <v>83</v>
      </c>
      <c r="D10" t="s">
        <v>84</v>
      </c>
      <c r="E10">
        <v>2</v>
      </c>
      <c r="F10">
        <v>0</v>
      </c>
      <c r="G10" t="s">
        <v>70</v>
      </c>
      <c r="H10">
        <v>1</v>
      </c>
      <c r="I10">
        <v>0</v>
      </c>
      <c r="J10" t="s">
        <v>70</v>
      </c>
      <c r="K10">
        <v>14</v>
      </c>
      <c r="L10">
        <v>14</v>
      </c>
      <c r="M10">
        <v>5</v>
      </c>
      <c r="N10">
        <v>4</v>
      </c>
      <c r="O10">
        <v>15</v>
      </c>
      <c r="P10">
        <v>13</v>
      </c>
      <c r="Q10">
        <v>4</v>
      </c>
      <c r="R10">
        <v>5</v>
      </c>
      <c r="S10">
        <v>3</v>
      </c>
      <c r="T10">
        <v>2</v>
      </c>
      <c r="U10">
        <v>0</v>
      </c>
      <c r="V10">
        <v>0</v>
      </c>
      <c r="W10">
        <v>2</v>
      </c>
      <c r="X10">
        <v>3.3</v>
      </c>
      <c r="Y10">
        <v>3.8</v>
      </c>
      <c r="Z10">
        <v>1.95</v>
      </c>
      <c r="AA10">
        <v>3.3</v>
      </c>
      <c r="AB10">
        <v>4</v>
      </c>
      <c r="AC10">
        <v>2</v>
      </c>
      <c r="AD10">
        <v>3.3</v>
      </c>
      <c r="AE10">
        <v>3.6</v>
      </c>
      <c r="AF10">
        <v>1.9</v>
      </c>
      <c r="AG10">
        <v>3.4</v>
      </c>
      <c r="AH10">
        <v>4</v>
      </c>
      <c r="AI10">
        <v>2.0699999999999998</v>
      </c>
      <c r="AJ10">
        <v>3.41</v>
      </c>
      <c r="AK10">
        <v>4.04</v>
      </c>
      <c r="AL10">
        <v>2.0499999999999998</v>
      </c>
      <c r="AM10">
        <v>3.25</v>
      </c>
      <c r="AN10">
        <v>3.8</v>
      </c>
      <c r="AO10">
        <v>1.95</v>
      </c>
      <c r="AP10">
        <v>3.25</v>
      </c>
      <c r="AQ10">
        <v>3.75</v>
      </c>
      <c r="AR10">
        <v>2.0499999999999998</v>
      </c>
      <c r="AS10">
        <v>3.4</v>
      </c>
      <c r="AT10">
        <v>4</v>
      </c>
      <c r="AU10">
        <v>32</v>
      </c>
      <c r="AV10">
        <v>2.0699999999999998</v>
      </c>
      <c r="AW10">
        <v>2</v>
      </c>
      <c r="AX10">
        <v>3.41</v>
      </c>
      <c r="AY10">
        <v>3.3</v>
      </c>
      <c r="AZ10">
        <v>4.0999999999999996</v>
      </c>
      <c r="BA10">
        <v>3.78</v>
      </c>
      <c r="BB10">
        <v>30</v>
      </c>
      <c r="BC10">
        <v>2.2999999999999998</v>
      </c>
      <c r="BD10">
        <v>2.19</v>
      </c>
      <c r="BE10">
        <v>1.76</v>
      </c>
      <c r="BF10">
        <v>1.67</v>
      </c>
      <c r="BG10">
        <v>16</v>
      </c>
      <c r="BH10">
        <v>-0.25</v>
      </c>
      <c r="BI10">
        <v>1.78</v>
      </c>
      <c r="BJ10">
        <v>1.73</v>
      </c>
      <c r="BK10">
        <v>2.25</v>
      </c>
      <c r="BL10">
        <v>2.16</v>
      </c>
      <c r="BM10">
        <v>2.16</v>
      </c>
      <c r="BN10">
        <v>3.29</v>
      </c>
      <c r="BO10">
        <v>3.96</v>
      </c>
    </row>
    <row r="11" spans="1:67">
      <c r="A11" t="s">
        <v>63</v>
      </c>
      <c r="B11" s="77">
        <v>41512</v>
      </c>
      <c r="C11" t="s">
        <v>85</v>
      </c>
      <c r="D11" t="s">
        <v>86</v>
      </c>
      <c r="E11">
        <v>2</v>
      </c>
      <c r="F11">
        <v>1</v>
      </c>
      <c r="G11" t="s">
        <v>70</v>
      </c>
      <c r="H11">
        <v>2</v>
      </c>
      <c r="I11">
        <v>1</v>
      </c>
      <c r="J11" t="s">
        <v>70</v>
      </c>
      <c r="K11">
        <v>16</v>
      </c>
      <c r="L11">
        <v>13</v>
      </c>
      <c r="M11">
        <v>6</v>
      </c>
      <c r="N11">
        <v>4</v>
      </c>
      <c r="O11">
        <v>16</v>
      </c>
      <c r="P11">
        <v>20</v>
      </c>
      <c r="Q11">
        <v>3</v>
      </c>
      <c r="R11">
        <v>3</v>
      </c>
      <c r="S11">
        <v>2</v>
      </c>
      <c r="T11">
        <v>4</v>
      </c>
      <c r="U11">
        <v>0</v>
      </c>
      <c r="V11">
        <v>0</v>
      </c>
      <c r="W11">
        <v>1.44</v>
      </c>
      <c r="X11">
        <v>4.2</v>
      </c>
      <c r="Y11">
        <v>7.5</v>
      </c>
      <c r="Z11">
        <v>1.45</v>
      </c>
      <c r="AA11">
        <v>4.2</v>
      </c>
      <c r="AB11">
        <v>7.25</v>
      </c>
      <c r="AC11">
        <v>1.45</v>
      </c>
      <c r="AD11">
        <v>4</v>
      </c>
      <c r="AE11">
        <v>7</v>
      </c>
      <c r="AF11">
        <v>1.53</v>
      </c>
      <c r="AG11">
        <v>4</v>
      </c>
      <c r="AH11">
        <v>6</v>
      </c>
      <c r="AI11">
        <v>1.48</v>
      </c>
      <c r="AJ11">
        <v>4.5</v>
      </c>
      <c r="AK11">
        <v>8.09</v>
      </c>
      <c r="AL11">
        <v>1.5</v>
      </c>
      <c r="AM11">
        <v>4.2</v>
      </c>
      <c r="AN11">
        <v>6.5</v>
      </c>
      <c r="AO11">
        <v>1.44</v>
      </c>
      <c r="AP11">
        <v>4</v>
      </c>
      <c r="AQ11">
        <v>6.5</v>
      </c>
      <c r="AR11">
        <v>1.5</v>
      </c>
      <c r="AS11">
        <v>4.5</v>
      </c>
      <c r="AT11">
        <v>7</v>
      </c>
      <c r="AU11">
        <v>32</v>
      </c>
      <c r="AV11">
        <v>1.53</v>
      </c>
      <c r="AW11">
        <v>1.48</v>
      </c>
      <c r="AX11">
        <v>4.5</v>
      </c>
      <c r="AY11">
        <v>4.16</v>
      </c>
      <c r="AZ11">
        <v>8.09</v>
      </c>
      <c r="BA11">
        <v>6.69</v>
      </c>
      <c r="BB11">
        <v>30</v>
      </c>
      <c r="BC11">
        <v>1.87</v>
      </c>
      <c r="BD11">
        <v>1.79</v>
      </c>
      <c r="BE11">
        <v>2.09</v>
      </c>
      <c r="BF11">
        <v>2.0099999999999998</v>
      </c>
      <c r="BG11">
        <v>19</v>
      </c>
      <c r="BH11">
        <v>-1</v>
      </c>
      <c r="BI11">
        <v>1.89</v>
      </c>
      <c r="BJ11">
        <v>1.84</v>
      </c>
      <c r="BK11">
        <v>2.06</v>
      </c>
      <c r="BL11">
        <v>2.02</v>
      </c>
      <c r="BM11">
        <v>1.42</v>
      </c>
      <c r="BN11">
        <v>4.78</v>
      </c>
      <c r="BO11">
        <v>9.5299999999999994</v>
      </c>
    </row>
    <row r="12" spans="1:67">
      <c r="A12" t="s">
        <v>63</v>
      </c>
      <c r="B12" s="77">
        <v>41517</v>
      </c>
      <c r="C12" t="s">
        <v>82</v>
      </c>
      <c r="D12" t="s">
        <v>79</v>
      </c>
      <c r="E12">
        <v>2</v>
      </c>
      <c r="F12">
        <v>4</v>
      </c>
      <c r="G12" t="s">
        <v>66</v>
      </c>
      <c r="H12">
        <v>2</v>
      </c>
      <c r="I12">
        <v>2</v>
      </c>
      <c r="J12" t="s">
        <v>67</v>
      </c>
      <c r="K12">
        <v>13</v>
      </c>
      <c r="L12">
        <v>18</v>
      </c>
      <c r="M12">
        <v>6</v>
      </c>
      <c r="N12">
        <v>8</v>
      </c>
      <c r="O12">
        <v>10</v>
      </c>
      <c r="P12">
        <v>10</v>
      </c>
      <c r="Q12">
        <v>3</v>
      </c>
      <c r="R12">
        <v>4</v>
      </c>
      <c r="S12">
        <v>1</v>
      </c>
      <c r="T12">
        <v>1</v>
      </c>
      <c r="U12">
        <v>0</v>
      </c>
      <c r="V12">
        <v>0</v>
      </c>
      <c r="W12">
        <v>4.75</v>
      </c>
      <c r="X12">
        <v>3.5</v>
      </c>
      <c r="Y12">
        <v>1.75</v>
      </c>
      <c r="Z12">
        <v>4.75</v>
      </c>
      <c r="AA12">
        <v>3.5</v>
      </c>
      <c r="AB12">
        <v>1.75</v>
      </c>
      <c r="AC12">
        <v>4.5</v>
      </c>
      <c r="AD12">
        <v>3.5</v>
      </c>
      <c r="AE12">
        <v>1.75</v>
      </c>
      <c r="AF12">
        <v>4.8</v>
      </c>
      <c r="AG12">
        <v>3.5</v>
      </c>
      <c r="AH12">
        <v>1.76</v>
      </c>
      <c r="AI12">
        <v>5.15</v>
      </c>
      <c r="AJ12">
        <v>3.54</v>
      </c>
      <c r="AK12">
        <v>1.84</v>
      </c>
      <c r="AL12">
        <v>4.5</v>
      </c>
      <c r="AM12">
        <v>3.4</v>
      </c>
      <c r="AN12">
        <v>1.83</v>
      </c>
      <c r="AO12">
        <v>4.5</v>
      </c>
      <c r="AP12">
        <v>3.4</v>
      </c>
      <c r="AQ12">
        <v>1.73</v>
      </c>
      <c r="AR12">
        <v>5</v>
      </c>
      <c r="AS12">
        <v>3.6</v>
      </c>
      <c r="AT12">
        <v>1.83</v>
      </c>
      <c r="AU12">
        <v>35</v>
      </c>
      <c r="AV12">
        <v>5.5</v>
      </c>
      <c r="AW12">
        <v>4.78</v>
      </c>
      <c r="AX12">
        <v>3.6</v>
      </c>
      <c r="AY12">
        <v>3.44</v>
      </c>
      <c r="AZ12">
        <v>1.85</v>
      </c>
      <c r="BA12">
        <v>1.76</v>
      </c>
      <c r="BB12">
        <v>33</v>
      </c>
      <c r="BC12">
        <v>2.25</v>
      </c>
      <c r="BD12">
        <v>2.12</v>
      </c>
      <c r="BE12">
        <v>1.81</v>
      </c>
      <c r="BF12">
        <v>1.71</v>
      </c>
      <c r="BG12">
        <v>18</v>
      </c>
      <c r="BH12">
        <v>0.5</v>
      </c>
      <c r="BI12">
        <v>2.11</v>
      </c>
      <c r="BJ12">
        <v>2.0699999999999998</v>
      </c>
      <c r="BK12">
        <v>1.84</v>
      </c>
      <c r="BL12">
        <v>1.81</v>
      </c>
      <c r="BM12">
        <v>4.22</v>
      </c>
      <c r="BN12">
        <v>3.41</v>
      </c>
      <c r="BO12">
        <v>2.0499999999999998</v>
      </c>
    </row>
    <row r="13" spans="1:67">
      <c r="A13" t="s">
        <v>63</v>
      </c>
      <c r="B13" s="77">
        <v>41517</v>
      </c>
      <c r="C13" t="s">
        <v>65</v>
      </c>
      <c r="D13" t="s">
        <v>75</v>
      </c>
      <c r="E13">
        <v>4</v>
      </c>
      <c r="F13">
        <v>1</v>
      </c>
      <c r="G13" t="s">
        <v>70</v>
      </c>
      <c r="H13">
        <v>2</v>
      </c>
      <c r="I13">
        <v>1</v>
      </c>
      <c r="J13" t="s">
        <v>70</v>
      </c>
      <c r="K13">
        <v>12</v>
      </c>
      <c r="L13">
        <v>17</v>
      </c>
      <c r="M13">
        <v>5</v>
      </c>
      <c r="N13">
        <v>11</v>
      </c>
      <c r="O13">
        <v>12</v>
      </c>
      <c r="P13">
        <v>15</v>
      </c>
      <c r="Q13">
        <v>4</v>
      </c>
      <c r="R13">
        <v>5</v>
      </c>
      <c r="S13">
        <v>1</v>
      </c>
      <c r="T13">
        <v>0</v>
      </c>
      <c r="U13">
        <v>0</v>
      </c>
      <c r="V13">
        <v>1</v>
      </c>
      <c r="W13">
        <v>1.36</v>
      </c>
      <c r="X13">
        <v>4.5</v>
      </c>
      <c r="Y13">
        <v>9</v>
      </c>
      <c r="Z13">
        <v>1.35</v>
      </c>
      <c r="AA13">
        <v>5</v>
      </c>
      <c r="AB13">
        <v>8.25</v>
      </c>
      <c r="AC13">
        <v>1.4</v>
      </c>
      <c r="AD13">
        <v>4.4000000000000004</v>
      </c>
      <c r="AE13">
        <v>7.3</v>
      </c>
      <c r="AF13">
        <v>1.4</v>
      </c>
      <c r="AG13">
        <v>4.5</v>
      </c>
      <c r="AH13">
        <v>7.5</v>
      </c>
      <c r="AI13">
        <v>1.37</v>
      </c>
      <c r="AJ13">
        <v>4.92</v>
      </c>
      <c r="AK13">
        <v>10.31</v>
      </c>
      <c r="AL13">
        <v>1.36</v>
      </c>
      <c r="AM13">
        <v>4.75</v>
      </c>
      <c r="AN13">
        <v>8.5</v>
      </c>
      <c r="AO13">
        <v>1.36</v>
      </c>
      <c r="AP13">
        <v>4.33</v>
      </c>
      <c r="AQ13">
        <v>9.5</v>
      </c>
      <c r="AR13">
        <v>1.36</v>
      </c>
      <c r="AS13">
        <v>4.8</v>
      </c>
      <c r="AT13">
        <v>10.5</v>
      </c>
      <c r="AU13">
        <v>35</v>
      </c>
      <c r="AV13">
        <v>1.4</v>
      </c>
      <c r="AW13">
        <v>1.36</v>
      </c>
      <c r="AX13">
        <v>5</v>
      </c>
      <c r="AY13">
        <v>4.59</v>
      </c>
      <c r="AZ13">
        <v>10.5</v>
      </c>
      <c r="BA13">
        <v>9.08</v>
      </c>
      <c r="BB13">
        <v>33</v>
      </c>
      <c r="BC13">
        <v>1.87</v>
      </c>
      <c r="BD13">
        <v>1.79</v>
      </c>
      <c r="BE13">
        <v>2.1</v>
      </c>
      <c r="BF13">
        <v>2.0099999999999998</v>
      </c>
      <c r="BG13">
        <v>21</v>
      </c>
      <c r="BH13">
        <v>-1.5</v>
      </c>
      <c r="BI13">
        <v>2.2000000000000002</v>
      </c>
      <c r="BJ13">
        <v>2.09</v>
      </c>
      <c r="BK13">
        <v>1.84</v>
      </c>
      <c r="BL13">
        <v>1.79</v>
      </c>
      <c r="BM13">
        <v>1.4</v>
      </c>
      <c r="BN13">
        <v>4.87</v>
      </c>
      <c r="BO13">
        <v>9.69</v>
      </c>
    </row>
    <row r="14" spans="1:67">
      <c r="A14" t="s">
        <v>63</v>
      </c>
      <c r="B14" s="77">
        <v>41518</v>
      </c>
      <c r="C14" t="s">
        <v>72</v>
      </c>
      <c r="D14" t="s">
        <v>83</v>
      </c>
      <c r="E14">
        <v>2</v>
      </c>
      <c r="F14">
        <v>0</v>
      </c>
      <c r="G14" t="s">
        <v>70</v>
      </c>
      <c r="H14">
        <v>0</v>
      </c>
      <c r="I14">
        <v>0</v>
      </c>
      <c r="J14" t="s">
        <v>67</v>
      </c>
      <c r="K14">
        <v>10</v>
      </c>
      <c r="L14">
        <v>14</v>
      </c>
      <c r="M14">
        <v>3</v>
      </c>
      <c r="N14">
        <v>2</v>
      </c>
      <c r="O14">
        <v>15</v>
      </c>
      <c r="P14">
        <v>16</v>
      </c>
      <c r="Q14">
        <v>6</v>
      </c>
      <c r="R14">
        <v>4</v>
      </c>
      <c r="S14">
        <v>3</v>
      </c>
      <c r="T14">
        <v>2</v>
      </c>
      <c r="U14">
        <v>0</v>
      </c>
      <c r="V14">
        <v>0</v>
      </c>
      <c r="W14">
        <v>2.1</v>
      </c>
      <c r="X14">
        <v>3.2</v>
      </c>
      <c r="Y14">
        <v>3.6</v>
      </c>
      <c r="Z14">
        <v>2.1</v>
      </c>
      <c r="AA14">
        <v>3.25</v>
      </c>
      <c r="AB14">
        <v>3.6</v>
      </c>
      <c r="AC14">
        <v>2</v>
      </c>
      <c r="AD14">
        <v>3.3</v>
      </c>
      <c r="AE14">
        <v>3.6</v>
      </c>
      <c r="AF14">
        <v>2.15</v>
      </c>
      <c r="AG14">
        <v>3.2</v>
      </c>
      <c r="AH14">
        <v>3.5</v>
      </c>
      <c r="AI14">
        <v>2.1800000000000002</v>
      </c>
      <c r="AJ14">
        <v>3.27</v>
      </c>
      <c r="AK14">
        <v>3.92</v>
      </c>
      <c r="AL14">
        <v>2.15</v>
      </c>
      <c r="AM14">
        <v>3.2</v>
      </c>
      <c r="AN14">
        <v>3.6</v>
      </c>
      <c r="AO14">
        <v>2.1</v>
      </c>
      <c r="AP14">
        <v>3.2</v>
      </c>
      <c r="AQ14">
        <v>3.5</v>
      </c>
      <c r="AR14">
        <v>2.15</v>
      </c>
      <c r="AS14">
        <v>3.25</v>
      </c>
      <c r="AT14">
        <v>3.8</v>
      </c>
      <c r="AU14">
        <v>34</v>
      </c>
      <c r="AV14">
        <v>2.2000000000000002</v>
      </c>
      <c r="AW14">
        <v>2.13</v>
      </c>
      <c r="AX14">
        <v>3.3</v>
      </c>
      <c r="AY14">
        <v>3.2</v>
      </c>
      <c r="AZ14">
        <v>3.92</v>
      </c>
      <c r="BA14">
        <v>3.58</v>
      </c>
      <c r="BB14">
        <v>29</v>
      </c>
      <c r="BC14">
        <v>2.44</v>
      </c>
      <c r="BD14">
        <v>2.35</v>
      </c>
      <c r="BE14">
        <v>1.65</v>
      </c>
      <c r="BF14">
        <v>1.57</v>
      </c>
      <c r="BG14">
        <v>18</v>
      </c>
      <c r="BH14">
        <v>-0.5</v>
      </c>
      <c r="BI14">
        <v>2.19</v>
      </c>
      <c r="BJ14">
        <v>2.13</v>
      </c>
      <c r="BK14">
        <v>1.8</v>
      </c>
      <c r="BL14">
        <v>1.76</v>
      </c>
      <c r="BM14">
        <v>2.19</v>
      </c>
      <c r="BN14">
        <v>3.22</v>
      </c>
      <c r="BO14">
        <v>3.94</v>
      </c>
    </row>
    <row r="15" spans="1:67">
      <c r="A15" t="s">
        <v>63</v>
      </c>
      <c r="B15" s="77">
        <v>41518</v>
      </c>
      <c r="C15" t="s">
        <v>80</v>
      </c>
      <c r="D15" t="s">
        <v>64</v>
      </c>
      <c r="E15">
        <v>2</v>
      </c>
      <c r="F15">
        <v>2</v>
      </c>
      <c r="G15" t="s">
        <v>67</v>
      </c>
      <c r="H15">
        <v>1</v>
      </c>
      <c r="I15">
        <v>1</v>
      </c>
      <c r="J15" t="s">
        <v>67</v>
      </c>
      <c r="K15">
        <v>10</v>
      </c>
      <c r="L15">
        <v>13</v>
      </c>
      <c r="M15">
        <v>6</v>
      </c>
      <c r="N15">
        <v>5</v>
      </c>
      <c r="O15">
        <v>20</v>
      </c>
      <c r="P15">
        <v>13</v>
      </c>
      <c r="Q15">
        <v>4</v>
      </c>
      <c r="R15">
        <v>4</v>
      </c>
      <c r="S15">
        <v>3</v>
      </c>
      <c r="T15">
        <v>3</v>
      </c>
      <c r="U15">
        <v>0</v>
      </c>
      <c r="V15">
        <v>0</v>
      </c>
      <c r="W15">
        <v>2.2000000000000002</v>
      </c>
      <c r="X15">
        <v>3.25</v>
      </c>
      <c r="Y15">
        <v>3.3</v>
      </c>
      <c r="Z15">
        <v>2.25</v>
      </c>
      <c r="AA15">
        <v>3.2</v>
      </c>
      <c r="AB15">
        <v>3.25</v>
      </c>
      <c r="AC15">
        <v>2.2000000000000002</v>
      </c>
      <c r="AD15">
        <v>3.2</v>
      </c>
      <c r="AE15">
        <v>3.2</v>
      </c>
      <c r="AF15">
        <v>2.25</v>
      </c>
      <c r="AG15">
        <v>3.2</v>
      </c>
      <c r="AH15">
        <v>3.2</v>
      </c>
      <c r="AI15">
        <v>2.2999999999999998</v>
      </c>
      <c r="AJ15">
        <v>3.24</v>
      </c>
      <c r="AK15">
        <v>3.61</v>
      </c>
      <c r="AL15">
        <v>2.25</v>
      </c>
      <c r="AM15">
        <v>3.2</v>
      </c>
      <c r="AN15">
        <v>3.3</v>
      </c>
      <c r="AO15">
        <v>2.2000000000000002</v>
      </c>
      <c r="AP15">
        <v>3.2</v>
      </c>
      <c r="AQ15">
        <v>3.25</v>
      </c>
      <c r="AR15">
        <v>2.2999999999999998</v>
      </c>
      <c r="AS15">
        <v>3.25</v>
      </c>
      <c r="AT15">
        <v>3.5</v>
      </c>
      <c r="AU15">
        <v>34</v>
      </c>
      <c r="AV15">
        <v>2.38</v>
      </c>
      <c r="AW15">
        <v>2.25</v>
      </c>
      <c r="AX15">
        <v>3.25</v>
      </c>
      <c r="AY15">
        <v>3.18</v>
      </c>
      <c r="AZ15">
        <v>3.61</v>
      </c>
      <c r="BA15">
        <v>3.28</v>
      </c>
      <c r="BB15">
        <v>29</v>
      </c>
      <c r="BC15">
        <v>2.38</v>
      </c>
      <c r="BD15">
        <v>2.2400000000000002</v>
      </c>
      <c r="BE15">
        <v>1.7</v>
      </c>
      <c r="BF15">
        <v>1.63</v>
      </c>
      <c r="BG15">
        <v>18</v>
      </c>
      <c r="BH15">
        <v>-0.5</v>
      </c>
      <c r="BI15">
        <v>2.2999999999999998</v>
      </c>
      <c r="BJ15">
        <v>2.25</v>
      </c>
      <c r="BK15">
        <v>1.71</v>
      </c>
      <c r="BL15">
        <v>1.68</v>
      </c>
      <c r="BM15">
        <v>2.2799999999999998</v>
      </c>
      <c r="BN15">
        <v>3.23</v>
      </c>
      <c r="BO15">
        <v>3.69</v>
      </c>
    </row>
    <row r="16" spans="1:67">
      <c r="A16" t="s">
        <v>63</v>
      </c>
      <c r="B16" s="77">
        <v>41518</v>
      </c>
      <c r="C16" t="s">
        <v>86</v>
      </c>
      <c r="D16" t="s">
        <v>73</v>
      </c>
      <c r="E16">
        <v>0</v>
      </c>
      <c r="F16">
        <v>3</v>
      </c>
      <c r="G16" t="s">
        <v>66</v>
      </c>
      <c r="H16">
        <v>0</v>
      </c>
      <c r="I16">
        <v>1</v>
      </c>
      <c r="J16" t="s">
        <v>66</v>
      </c>
      <c r="K16">
        <v>13</v>
      </c>
      <c r="L16">
        <v>17</v>
      </c>
      <c r="M16">
        <v>3</v>
      </c>
      <c r="N16">
        <v>7</v>
      </c>
      <c r="O16">
        <v>16</v>
      </c>
      <c r="P16">
        <v>10</v>
      </c>
      <c r="Q16">
        <v>4</v>
      </c>
      <c r="R16">
        <v>3</v>
      </c>
      <c r="S16">
        <v>3</v>
      </c>
      <c r="T16">
        <v>1</v>
      </c>
      <c r="U16">
        <v>0</v>
      </c>
      <c r="V16">
        <v>0</v>
      </c>
      <c r="W16">
        <v>2.75</v>
      </c>
      <c r="X16">
        <v>3.2</v>
      </c>
      <c r="Y16">
        <v>2.6</v>
      </c>
      <c r="Z16">
        <v>2.95</v>
      </c>
      <c r="AA16">
        <v>3.25</v>
      </c>
      <c r="AB16">
        <v>2.4</v>
      </c>
      <c r="AC16">
        <v>3</v>
      </c>
      <c r="AD16">
        <v>3.2</v>
      </c>
      <c r="AE16">
        <v>2.2999999999999998</v>
      </c>
      <c r="AF16">
        <v>2.87</v>
      </c>
      <c r="AG16">
        <v>3.3</v>
      </c>
      <c r="AH16">
        <v>2.4</v>
      </c>
      <c r="AI16">
        <v>2.92</v>
      </c>
      <c r="AJ16">
        <v>3.27</v>
      </c>
      <c r="AK16">
        <v>2.69</v>
      </c>
      <c r="AL16">
        <v>2.9</v>
      </c>
      <c r="AM16">
        <v>3.25</v>
      </c>
      <c r="AN16">
        <v>2.4500000000000002</v>
      </c>
      <c r="AO16">
        <v>2.75</v>
      </c>
      <c r="AP16">
        <v>3.13</v>
      </c>
      <c r="AQ16">
        <v>2.5</v>
      </c>
      <c r="AR16">
        <v>2.8</v>
      </c>
      <c r="AS16">
        <v>3.3</v>
      </c>
      <c r="AT16">
        <v>2.7</v>
      </c>
      <c r="AU16">
        <v>34</v>
      </c>
      <c r="AV16">
        <v>3.05</v>
      </c>
      <c r="AW16">
        <v>2.81</v>
      </c>
      <c r="AX16">
        <v>3.34</v>
      </c>
      <c r="AY16">
        <v>3.22</v>
      </c>
      <c r="AZ16">
        <v>2.7</v>
      </c>
      <c r="BA16">
        <v>2.52</v>
      </c>
      <c r="BB16">
        <v>32</v>
      </c>
      <c r="BC16">
        <v>2.1</v>
      </c>
      <c r="BD16">
        <v>1.97</v>
      </c>
      <c r="BE16">
        <v>1.94</v>
      </c>
      <c r="BF16">
        <v>1.84</v>
      </c>
      <c r="BG16">
        <v>18</v>
      </c>
      <c r="BH16">
        <v>0</v>
      </c>
      <c r="BI16">
        <v>2.06</v>
      </c>
      <c r="BJ16">
        <v>2</v>
      </c>
      <c r="BK16">
        <v>1.92</v>
      </c>
      <c r="BL16">
        <v>1.85</v>
      </c>
      <c r="BM16">
        <v>2.97</v>
      </c>
      <c r="BN16">
        <v>3.48</v>
      </c>
      <c r="BO16">
        <v>2.5299999999999998</v>
      </c>
    </row>
    <row r="17" spans="1:67">
      <c r="A17" t="s">
        <v>63</v>
      </c>
      <c r="B17" s="77">
        <v>41518</v>
      </c>
      <c r="C17" t="s">
        <v>74</v>
      </c>
      <c r="D17" t="s">
        <v>85</v>
      </c>
      <c r="E17">
        <v>2</v>
      </c>
      <c r="F17">
        <v>5</v>
      </c>
      <c r="G17" t="s">
        <v>66</v>
      </c>
      <c r="H17">
        <v>0</v>
      </c>
      <c r="I17">
        <v>3</v>
      </c>
      <c r="J17" t="s">
        <v>66</v>
      </c>
      <c r="K17">
        <v>14</v>
      </c>
      <c r="L17">
        <v>16</v>
      </c>
      <c r="M17">
        <v>7</v>
      </c>
      <c r="N17">
        <v>8</v>
      </c>
      <c r="O17">
        <v>13</v>
      </c>
      <c r="P17">
        <v>7</v>
      </c>
      <c r="Q17">
        <v>11</v>
      </c>
      <c r="R17">
        <v>2</v>
      </c>
      <c r="S17">
        <v>1</v>
      </c>
      <c r="T17">
        <v>2</v>
      </c>
      <c r="U17">
        <v>1</v>
      </c>
      <c r="V17">
        <v>0</v>
      </c>
      <c r="W17">
        <v>4</v>
      </c>
      <c r="X17">
        <v>3.3</v>
      </c>
      <c r="Y17">
        <v>1.95</v>
      </c>
      <c r="Z17">
        <v>4</v>
      </c>
      <c r="AA17">
        <v>3.4</v>
      </c>
      <c r="AB17">
        <v>1.91</v>
      </c>
      <c r="AC17">
        <v>3.3</v>
      </c>
      <c r="AD17">
        <v>3.3</v>
      </c>
      <c r="AE17">
        <v>2.1</v>
      </c>
      <c r="AF17">
        <v>3.5</v>
      </c>
      <c r="AG17">
        <v>3.4</v>
      </c>
      <c r="AH17">
        <v>2</v>
      </c>
      <c r="AI17">
        <v>4.2699999999999996</v>
      </c>
      <c r="AJ17">
        <v>3.59</v>
      </c>
      <c r="AK17">
        <v>1.97</v>
      </c>
      <c r="AL17">
        <v>4</v>
      </c>
      <c r="AM17">
        <v>3.5</v>
      </c>
      <c r="AN17">
        <v>1.91</v>
      </c>
      <c r="AO17">
        <v>3.8</v>
      </c>
      <c r="AP17">
        <v>3.3</v>
      </c>
      <c r="AQ17">
        <v>1.95</v>
      </c>
      <c r="AR17">
        <v>4</v>
      </c>
      <c r="AS17">
        <v>3.5</v>
      </c>
      <c r="AT17">
        <v>1.95</v>
      </c>
      <c r="AU17">
        <v>34</v>
      </c>
      <c r="AV17">
        <v>4.22</v>
      </c>
      <c r="AW17">
        <v>3.88</v>
      </c>
      <c r="AX17">
        <v>3.6</v>
      </c>
      <c r="AY17">
        <v>3.37</v>
      </c>
      <c r="AZ17">
        <v>2.1</v>
      </c>
      <c r="BA17">
        <v>1.96</v>
      </c>
      <c r="BB17">
        <v>32</v>
      </c>
      <c r="BC17">
        <v>2.0499999999999998</v>
      </c>
      <c r="BD17">
        <v>1.98</v>
      </c>
      <c r="BE17">
        <v>1.9</v>
      </c>
      <c r="BF17">
        <v>1.81</v>
      </c>
      <c r="BG17">
        <v>18</v>
      </c>
      <c r="BH17">
        <v>0.5</v>
      </c>
      <c r="BI17">
        <v>1.92</v>
      </c>
      <c r="BJ17">
        <v>1.88</v>
      </c>
      <c r="BK17">
        <v>2.0299999999999998</v>
      </c>
      <c r="BL17">
        <v>1.99</v>
      </c>
      <c r="BM17">
        <v>3.71</v>
      </c>
      <c r="BN17">
        <v>3.26</v>
      </c>
      <c r="BO17">
        <v>2.2599999999999998</v>
      </c>
    </row>
    <row r="18" spans="1:67">
      <c r="A18" t="s">
        <v>63</v>
      </c>
      <c r="B18" s="77">
        <v>41518</v>
      </c>
      <c r="C18" t="s">
        <v>69</v>
      </c>
      <c r="D18" t="s">
        <v>71</v>
      </c>
      <c r="E18">
        <v>3</v>
      </c>
      <c r="F18">
        <v>1</v>
      </c>
      <c r="G18" t="s">
        <v>70</v>
      </c>
      <c r="H18">
        <v>2</v>
      </c>
      <c r="I18">
        <v>1</v>
      </c>
      <c r="J18" t="s">
        <v>70</v>
      </c>
      <c r="K18">
        <v>17</v>
      </c>
      <c r="L18">
        <v>10</v>
      </c>
      <c r="M18">
        <v>8</v>
      </c>
      <c r="N18">
        <v>2</v>
      </c>
      <c r="O18">
        <v>25</v>
      </c>
      <c r="P18">
        <v>13</v>
      </c>
      <c r="Q18">
        <v>3</v>
      </c>
      <c r="R18">
        <v>5</v>
      </c>
      <c r="S18">
        <v>1</v>
      </c>
      <c r="T18">
        <v>1</v>
      </c>
      <c r="U18">
        <v>0</v>
      </c>
      <c r="V18">
        <v>0</v>
      </c>
      <c r="W18">
        <v>1.4</v>
      </c>
      <c r="X18">
        <v>4.5</v>
      </c>
      <c r="Y18">
        <v>7.5</v>
      </c>
      <c r="Z18">
        <v>1.36</v>
      </c>
      <c r="AA18">
        <v>4.5999999999999996</v>
      </c>
      <c r="AB18">
        <v>8.75</v>
      </c>
      <c r="AC18">
        <v>1.35</v>
      </c>
      <c r="AD18">
        <v>4.8</v>
      </c>
      <c r="AE18">
        <v>7.6</v>
      </c>
      <c r="AF18">
        <v>1.4</v>
      </c>
      <c r="AG18">
        <v>4.5</v>
      </c>
      <c r="AH18">
        <v>8</v>
      </c>
      <c r="AI18">
        <v>1.41</v>
      </c>
      <c r="AJ18">
        <v>4.87</v>
      </c>
      <c r="AK18">
        <v>9.65</v>
      </c>
      <c r="AL18">
        <v>1.4</v>
      </c>
      <c r="AM18">
        <v>4.5</v>
      </c>
      <c r="AN18">
        <v>8</v>
      </c>
      <c r="AO18">
        <v>1.36</v>
      </c>
      <c r="AP18">
        <v>4.33</v>
      </c>
      <c r="AQ18">
        <v>8</v>
      </c>
      <c r="AR18">
        <v>1.4</v>
      </c>
      <c r="AS18">
        <v>4.8</v>
      </c>
      <c r="AT18">
        <v>9.5</v>
      </c>
      <c r="AU18">
        <v>34</v>
      </c>
      <c r="AV18">
        <v>1.44</v>
      </c>
      <c r="AW18">
        <v>1.39</v>
      </c>
      <c r="AX18">
        <v>4.88</v>
      </c>
      <c r="AY18">
        <v>4.4800000000000004</v>
      </c>
      <c r="AZ18">
        <v>9.7100000000000009</v>
      </c>
      <c r="BA18">
        <v>8.2799999999999994</v>
      </c>
      <c r="BB18">
        <v>31</v>
      </c>
      <c r="BC18">
        <v>1.85</v>
      </c>
      <c r="BD18">
        <v>1.78</v>
      </c>
      <c r="BE18">
        <v>2.14</v>
      </c>
      <c r="BF18">
        <v>2.0299999999999998</v>
      </c>
      <c r="BG18">
        <v>20</v>
      </c>
      <c r="BH18">
        <v>-1.5</v>
      </c>
      <c r="BI18">
        <v>2.2200000000000002</v>
      </c>
      <c r="BJ18">
        <v>2.13</v>
      </c>
      <c r="BK18">
        <v>1.79</v>
      </c>
      <c r="BL18">
        <v>1.74</v>
      </c>
      <c r="BM18">
        <v>1.44</v>
      </c>
      <c r="BN18">
        <v>4.5599999999999996</v>
      </c>
      <c r="BO18">
        <v>9.5</v>
      </c>
    </row>
    <row r="19" spans="1:67">
      <c r="A19" t="s">
        <v>63</v>
      </c>
      <c r="B19" s="77">
        <v>41518</v>
      </c>
      <c r="C19" t="s">
        <v>78</v>
      </c>
      <c r="D19" t="s">
        <v>68</v>
      </c>
      <c r="E19">
        <v>3</v>
      </c>
      <c r="F19">
        <v>0</v>
      </c>
      <c r="G19" t="s">
        <v>70</v>
      </c>
      <c r="H19">
        <v>0</v>
      </c>
      <c r="I19">
        <v>0</v>
      </c>
      <c r="J19" t="s">
        <v>67</v>
      </c>
      <c r="K19">
        <v>25</v>
      </c>
      <c r="L19">
        <v>13</v>
      </c>
      <c r="M19">
        <v>11</v>
      </c>
      <c r="N19">
        <v>1</v>
      </c>
      <c r="O19">
        <v>9</v>
      </c>
      <c r="P19">
        <v>12</v>
      </c>
      <c r="Q19">
        <v>9</v>
      </c>
      <c r="R19">
        <v>3</v>
      </c>
      <c r="S19">
        <v>2</v>
      </c>
      <c r="T19">
        <v>2</v>
      </c>
      <c r="U19">
        <v>0</v>
      </c>
      <c r="V19">
        <v>0</v>
      </c>
      <c r="W19">
        <v>1.4</v>
      </c>
      <c r="X19">
        <v>4.5</v>
      </c>
      <c r="Y19">
        <v>8</v>
      </c>
      <c r="Z19">
        <v>1.42</v>
      </c>
      <c r="AA19">
        <v>4.33</v>
      </c>
      <c r="AB19">
        <v>7.75</v>
      </c>
      <c r="AC19">
        <v>1.45</v>
      </c>
      <c r="AD19">
        <v>4</v>
      </c>
      <c r="AE19">
        <v>7</v>
      </c>
      <c r="AF19">
        <v>1.44</v>
      </c>
      <c r="AG19">
        <v>4.33</v>
      </c>
      <c r="AH19">
        <v>7</v>
      </c>
      <c r="AI19">
        <v>1.47</v>
      </c>
      <c r="AJ19">
        <v>4.66</v>
      </c>
      <c r="AK19">
        <v>8.09</v>
      </c>
      <c r="AL19">
        <v>1.44</v>
      </c>
      <c r="AM19">
        <v>4.4000000000000004</v>
      </c>
      <c r="AN19">
        <v>7</v>
      </c>
      <c r="AO19">
        <v>1.4</v>
      </c>
      <c r="AP19">
        <v>4.33</v>
      </c>
      <c r="AQ19">
        <v>7.5</v>
      </c>
      <c r="AR19">
        <v>1.45</v>
      </c>
      <c r="AS19">
        <v>4.5999999999999996</v>
      </c>
      <c r="AT19">
        <v>7.5</v>
      </c>
      <c r="AU19">
        <v>34</v>
      </c>
      <c r="AV19">
        <v>1.47</v>
      </c>
      <c r="AW19">
        <v>1.43</v>
      </c>
      <c r="AX19">
        <v>4.9000000000000004</v>
      </c>
      <c r="AY19">
        <v>4.34</v>
      </c>
      <c r="AZ19">
        <v>9.4</v>
      </c>
      <c r="BA19">
        <v>7.58</v>
      </c>
      <c r="BB19">
        <v>28</v>
      </c>
      <c r="BC19">
        <v>1.75</v>
      </c>
      <c r="BD19">
        <v>1.67</v>
      </c>
      <c r="BE19">
        <v>2.29</v>
      </c>
      <c r="BF19">
        <v>2.1800000000000002</v>
      </c>
      <c r="BG19">
        <v>20</v>
      </c>
      <c r="BH19">
        <v>-1</v>
      </c>
      <c r="BI19">
        <v>1.76</v>
      </c>
      <c r="BJ19">
        <v>1.72</v>
      </c>
      <c r="BK19">
        <v>2.3199999999999998</v>
      </c>
      <c r="BL19">
        <v>2.17</v>
      </c>
      <c r="BM19">
        <v>1.48</v>
      </c>
      <c r="BN19">
        <v>4.5</v>
      </c>
      <c r="BO19">
        <v>8.2100000000000009</v>
      </c>
    </row>
    <row r="20" spans="1:67">
      <c r="A20" t="s">
        <v>63</v>
      </c>
      <c r="B20" s="77">
        <v>41518</v>
      </c>
      <c r="C20" t="s">
        <v>84</v>
      </c>
      <c r="D20" t="s">
        <v>77</v>
      </c>
      <c r="E20">
        <v>1</v>
      </c>
      <c r="F20">
        <v>4</v>
      </c>
      <c r="G20" t="s">
        <v>66</v>
      </c>
      <c r="H20">
        <v>0</v>
      </c>
      <c r="I20">
        <v>1</v>
      </c>
      <c r="J20" t="s">
        <v>66</v>
      </c>
      <c r="K20">
        <v>11</v>
      </c>
      <c r="L20">
        <v>10</v>
      </c>
      <c r="M20">
        <v>4</v>
      </c>
      <c r="N20">
        <v>5</v>
      </c>
      <c r="O20">
        <v>17</v>
      </c>
      <c r="P20">
        <v>18</v>
      </c>
      <c r="Q20">
        <v>10</v>
      </c>
      <c r="R20">
        <v>3</v>
      </c>
      <c r="S20">
        <v>1</v>
      </c>
      <c r="T20">
        <v>1</v>
      </c>
      <c r="U20">
        <v>0</v>
      </c>
      <c r="V20">
        <v>0</v>
      </c>
      <c r="W20">
        <v>1.95</v>
      </c>
      <c r="X20">
        <v>3.2</v>
      </c>
      <c r="Y20">
        <v>4.2</v>
      </c>
      <c r="Z20">
        <v>1.95</v>
      </c>
      <c r="AA20">
        <v>3.4</v>
      </c>
      <c r="AB20">
        <v>3.9</v>
      </c>
      <c r="AC20">
        <v>2</v>
      </c>
      <c r="AD20">
        <v>3.3</v>
      </c>
      <c r="AE20">
        <v>3.6</v>
      </c>
      <c r="AF20">
        <v>2</v>
      </c>
      <c r="AG20">
        <v>3.3</v>
      </c>
      <c r="AH20">
        <v>3.75</v>
      </c>
      <c r="AI20">
        <v>2.04</v>
      </c>
      <c r="AJ20">
        <v>3.33</v>
      </c>
      <c r="AK20">
        <v>4.34</v>
      </c>
      <c r="AL20">
        <v>2</v>
      </c>
      <c r="AM20">
        <v>3.25</v>
      </c>
      <c r="AN20">
        <v>4</v>
      </c>
      <c r="AO20">
        <v>1.95</v>
      </c>
      <c r="AP20">
        <v>3.2</v>
      </c>
      <c r="AQ20">
        <v>3.8</v>
      </c>
      <c r="AR20">
        <v>2.0499999999999998</v>
      </c>
      <c r="AS20">
        <v>3.3</v>
      </c>
      <c r="AT20">
        <v>4.2</v>
      </c>
      <c r="AU20">
        <v>34</v>
      </c>
      <c r="AV20">
        <v>2.1</v>
      </c>
      <c r="AW20">
        <v>2</v>
      </c>
      <c r="AX20">
        <v>3.4</v>
      </c>
      <c r="AY20">
        <v>3.25</v>
      </c>
      <c r="AZ20">
        <v>4.3499999999999996</v>
      </c>
      <c r="BA20">
        <v>3.93</v>
      </c>
      <c r="BB20">
        <v>29</v>
      </c>
      <c r="BC20">
        <v>2.39</v>
      </c>
      <c r="BD20">
        <v>2.25</v>
      </c>
      <c r="BE20">
        <v>1.73</v>
      </c>
      <c r="BF20">
        <v>1.63</v>
      </c>
      <c r="BG20">
        <v>18</v>
      </c>
      <c r="BH20">
        <v>-0.5</v>
      </c>
      <c r="BI20">
        <v>2.0499999999999998</v>
      </c>
      <c r="BJ20">
        <v>2</v>
      </c>
      <c r="BK20">
        <v>1.91</v>
      </c>
      <c r="BL20">
        <v>1.87</v>
      </c>
      <c r="BM20">
        <v>2.0499999999999998</v>
      </c>
      <c r="BN20">
        <v>3.36</v>
      </c>
      <c r="BO20">
        <v>4.26</v>
      </c>
    </row>
    <row r="21" spans="1:67">
      <c r="A21" t="s">
        <v>63</v>
      </c>
      <c r="B21" s="77">
        <v>41518</v>
      </c>
      <c r="C21" t="s">
        <v>76</v>
      </c>
      <c r="D21" t="s">
        <v>81</v>
      </c>
      <c r="E21">
        <v>3</v>
      </c>
      <c r="F21">
        <v>1</v>
      </c>
      <c r="G21" t="s">
        <v>70</v>
      </c>
      <c r="H21">
        <v>1</v>
      </c>
      <c r="I21">
        <v>0</v>
      </c>
      <c r="J21" t="s">
        <v>70</v>
      </c>
      <c r="K21">
        <v>15</v>
      </c>
      <c r="L21">
        <v>12</v>
      </c>
      <c r="M21">
        <v>6</v>
      </c>
      <c r="N21">
        <v>1</v>
      </c>
      <c r="O21">
        <v>12</v>
      </c>
      <c r="P21">
        <v>14</v>
      </c>
      <c r="Q21">
        <v>5</v>
      </c>
      <c r="R21">
        <v>6</v>
      </c>
      <c r="S21">
        <v>0</v>
      </c>
      <c r="T21">
        <v>4</v>
      </c>
      <c r="U21">
        <v>0</v>
      </c>
      <c r="V21">
        <v>0</v>
      </c>
      <c r="W21">
        <v>2.1</v>
      </c>
      <c r="X21">
        <v>3.25</v>
      </c>
      <c r="Y21">
        <v>3.6</v>
      </c>
      <c r="Z21">
        <v>1.95</v>
      </c>
      <c r="AA21">
        <v>3.5</v>
      </c>
      <c r="AB21">
        <v>3.8</v>
      </c>
      <c r="AC21">
        <v>1.9</v>
      </c>
      <c r="AD21">
        <v>3.45</v>
      </c>
      <c r="AE21">
        <v>3.8</v>
      </c>
      <c r="AF21">
        <v>2</v>
      </c>
      <c r="AG21">
        <v>3.4</v>
      </c>
      <c r="AH21">
        <v>3.75</v>
      </c>
      <c r="AI21">
        <v>2.14</v>
      </c>
      <c r="AJ21">
        <v>3.41</v>
      </c>
      <c r="AK21">
        <v>3.86</v>
      </c>
      <c r="AL21">
        <v>2</v>
      </c>
      <c r="AM21">
        <v>3.4</v>
      </c>
      <c r="AN21">
        <v>3.8</v>
      </c>
      <c r="AO21">
        <v>2.0499999999999998</v>
      </c>
      <c r="AP21">
        <v>3.25</v>
      </c>
      <c r="AQ21">
        <v>3.5</v>
      </c>
      <c r="AR21">
        <v>2.15</v>
      </c>
      <c r="AS21">
        <v>3.4</v>
      </c>
      <c r="AT21">
        <v>3.75</v>
      </c>
      <c r="AU21">
        <v>34</v>
      </c>
      <c r="AV21">
        <v>2.15</v>
      </c>
      <c r="AW21">
        <v>2.0699999999999998</v>
      </c>
      <c r="AX21">
        <v>3.45</v>
      </c>
      <c r="AY21">
        <v>3.28</v>
      </c>
      <c r="AZ21">
        <v>4.05</v>
      </c>
      <c r="BA21">
        <v>3.67</v>
      </c>
      <c r="BB21">
        <v>32</v>
      </c>
      <c r="BC21">
        <v>2.2000000000000002</v>
      </c>
      <c r="BD21">
        <v>2.11</v>
      </c>
      <c r="BE21">
        <v>1.8</v>
      </c>
      <c r="BF21">
        <v>1.72</v>
      </c>
      <c r="BG21">
        <v>18</v>
      </c>
      <c r="BH21">
        <v>-0.5</v>
      </c>
      <c r="BI21">
        <v>2.14</v>
      </c>
      <c r="BJ21">
        <v>2.1</v>
      </c>
      <c r="BK21">
        <v>1.83</v>
      </c>
      <c r="BL21">
        <v>1.79</v>
      </c>
      <c r="BM21">
        <v>2.09</v>
      </c>
      <c r="BN21">
        <v>3.34</v>
      </c>
      <c r="BO21">
        <v>4.13</v>
      </c>
    </row>
    <row r="22" spans="1:67">
      <c r="A22" t="s">
        <v>63</v>
      </c>
      <c r="B22" s="77">
        <v>41531</v>
      </c>
      <c r="C22" t="s">
        <v>73</v>
      </c>
      <c r="D22" t="s">
        <v>65</v>
      </c>
      <c r="E22">
        <v>1</v>
      </c>
      <c r="F22">
        <v>1</v>
      </c>
      <c r="G22" t="s">
        <v>67</v>
      </c>
      <c r="H22">
        <v>0</v>
      </c>
      <c r="I22">
        <v>0</v>
      </c>
      <c r="J22" t="s">
        <v>67</v>
      </c>
      <c r="K22">
        <v>8</v>
      </c>
      <c r="L22">
        <v>12</v>
      </c>
      <c r="M22">
        <v>4</v>
      </c>
      <c r="N22">
        <v>5</v>
      </c>
      <c r="O22">
        <v>16</v>
      </c>
      <c r="P22">
        <v>14</v>
      </c>
      <c r="Q22">
        <v>6</v>
      </c>
      <c r="R22">
        <v>1</v>
      </c>
      <c r="S22">
        <v>2</v>
      </c>
      <c r="T22">
        <v>2</v>
      </c>
      <c r="U22">
        <v>0</v>
      </c>
      <c r="V22">
        <v>0</v>
      </c>
      <c r="W22">
        <v>3.5</v>
      </c>
      <c r="X22">
        <v>3.3</v>
      </c>
      <c r="Y22">
        <v>2.1</v>
      </c>
      <c r="Z22">
        <v>3.75</v>
      </c>
      <c r="AA22">
        <v>3.4</v>
      </c>
      <c r="AB22">
        <v>2.1</v>
      </c>
      <c r="AC22">
        <v>3.3</v>
      </c>
      <c r="AD22">
        <v>3.3</v>
      </c>
      <c r="AE22">
        <v>2.1</v>
      </c>
      <c r="AF22">
        <v>3.4</v>
      </c>
      <c r="AG22">
        <v>3.4</v>
      </c>
      <c r="AH22">
        <v>2.1</v>
      </c>
      <c r="AI22">
        <v>3.79</v>
      </c>
      <c r="AJ22">
        <v>3.28</v>
      </c>
      <c r="AK22">
        <v>2.2200000000000002</v>
      </c>
      <c r="AL22">
        <v>3.3</v>
      </c>
      <c r="AM22">
        <v>3.4</v>
      </c>
      <c r="AN22">
        <v>2.15</v>
      </c>
      <c r="AO22">
        <v>3.4</v>
      </c>
      <c r="AP22">
        <v>3.25</v>
      </c>
      <c r="AQ22">
        <v>2.1</v>
      </c>
      <c r="AR22">
        <v>3.6</v>
      </c>
      <c r="AS22">
        <v>3.4</v>
      </c>
      <c r="AT22">
        <v>2.15</v>
      </c>
      <c r="AU22">
        <v>36</v>
      </c>
      <c r="AV22">
        <v>3.79</v>
      </c>
      <c r="AW22">
        <v>3.45</v>
      </c>
      <c r="AX22">
        <v>3.4</v>
      </c>
      <c r="AY22">
        <v>3.27</v>
      </c>
      <c r="AZ22">
        <v>2.25</v>
      </c>
      <c r="BA22">
        <v>2.13</v>
      </c>
      <c r="BB22">
        <v>34</v>
      </c>
      <c r="BC22">
        <v>2</v>
      </c>
      <c r="BD22">
        <v>1.9</v>
      </c>
      <c r="BE22">
        <v>1.96</v>
      </c>
      <c r="BF22">
        <v>1.9</v>
      </c>
      <c r="BG22">
        <v>18</v>
      </c>
      <c r="BH22">
        <v>0.5</v>
      </c>
      <c r="BI22">
        <v>1.78</v>
      </c>
      <c r="BJ22">
        <v>1.75</v>
      </c>
      <c r="BK22">
        <v>2.2200000000000002</v>
      </c>
      <c r="BL22">
        <v>2.14</v>
      </c>
      <c r="BM22">
        <v>4.34</v>
      </c>
      <c r="BN22">
        <v>3.28</v>
      </c>
      <c r="BO22">
        <v>2.0699999999999998</v>
      </c>
    </row>
    <row r="23" spans="1:67">
      <c r="A23" t="s">
        <v>63</v>
      </c>
      <c r="B23" s="77">
        <v>41531</v>
      </c>
      <c r="C23" t="s">
        <v>79</v>
      </c>
      <c r="D23" t="s">
        <v>72</v>
      </c>
      <c r="E23">
        <v>2</v>
      </c>
      <c r="F23">
        <v>0</v>
      </c>
      <c r="G23" t="s">
        <v>70</v>
      </c>
      <c r="H23">
        <v>0</v>
      </c>
      <c r="I23">
        <v>0</v>
      </c>
      <c r="J23" t="s">
        <v>67</v>
      </c>
      <c r="K23">
        <v>29</v>
      </c>
      <c r="L23">
        <v>11</v>
      </c>
      <c r="M23">
        <v>11</v>
      </c>
      <c r="N23">
        <v>5</v>
      </c>
      <c r="O23">
        <v>7</v>
      </c>
      <c r="P23">
        <v>11</v>
      </c>
      <c r="Q23">
        <v>8</v>
      </c>
      <c r="R23">
        <v>2</v>
      </c>
      <c r="S23">
        <v>1</v>
      </c>
      <c r="T23">
        <v>0</v>
      </c>
      <c r="U23">
        <v>0</v>
      </c>
      <c r="V23">
        <v>1</v>
      </c>
      <c r="W23">
        <v>1.36</v>
      </c>
      <c r="X23">
        <v>4.75</v>
      </c>
      <c r="Y23">
        <v>8.5</v>
      </c>
      <c r="Z23">
        <v>1.33</v>
      </c>
      <c r="AA23">
        <v>4.75</v>
      </c>
      <c r="AB23">
        <v>9.5</v>
      </c>
      <c r="AC23">
        <v>1.37</v>
      </c>
      <c r="AD23">
        <v>4.5999999999999996</v>
      </c>
      <c r="AE23">
        <v>7.5</v>
      </c>
      <c r="AF23">
        <v>1.4</v>
      </c>
      <c r="AG23">
        <v>4.5</v>
      </c>
      <c r="AH23">
        <v>7.5</v>
      </c>
      <c r="AI23">
        <v>1.38</v>
      </c>
      <c r="AJ23">
        <v>5.0599999999999996</v>
      </c>
      <c r="AK23">
        <v>10.199999999999999</v>
      </c>
      <c r="AL23">
        <v>1.4</v>
      </c>
      <c r="AM23">
        <v>4.5</v>
      </c>
      <c r="AN23">
        <v>8</v>
      </c>
      <c r="AO23">
        <v>1.36</v>
      </c>
      <c r="AP23">
        <v>4.33</v>
      </c>
      <c r="AQ23">
        <v>8.5</v>
      </c>
      <c r="AR23">
        <v>1.36</v>
      </c>
      <c r="AS23">
        <v>5</v>
      </c>
      <c r="AT23">
        <v>9</v>
      </c>
      <c r="AU23">
        <v>36</v>
      </c>
      <c r="AV23">
        <v>1.44</v>
      </c>
      <c r="AW23">
        <v>1.37</v>
      </c>
      <c r="AX23">
        <v>5.0999999999999996</v>
      </c>
      <c r="AY23">
        <v>4.5599999999999996</v>
      </c>
      <c r="AZ23">
        <v>10.210000000000001</v>
      </c>
      <c r="BA23">
        <v>8.69</v>
      </c>
      <c r="BB23">
        <v>34</v>
      </c>
      <c r="BC23">
        <v>1.81</v>
      </c>
      <c r="BD23">
        <v>1.74</v>
      </c>
      <c r="BE23">
        <v>2.25</v>
      </c>
      <c r="BF23">
        <v>2.08</v>
      </c>
      <c r="BG23">
        <v>21</v>
      </c>
      <c r="BH23">
        <v>-1.5</v>
      </c>
      <c r="BI23">
        <v>2.21</v>
      </c>
      <c r="BJ23">
        <v>2.13</v>
      </c>
      <c r="BK23">
        <v>1.82</v>
      </c>
      <c r="BL23">
        <v>1.74</v>
      </c>
      <c r="BM23">
        <v>1.37</v>
      </c>
      <c r="BN23">
        <v>5.39</v>
      </c>
      <c r="BO23">
        <v>9.1999999999999993</v>
      </c>
    </row>
    <row r="24" spans="1:67">
      <c r="A24" t="s">
        <v>63</v>
      </c>
      <c r="B24" s="77">
        <v>41531</v>
      </c>
      <c r="C24" t="s">
        <v>83</v>
      </c>
      <c r="D24" t="s">
        <v>69</v>
      </c>
      <c r="E24">
        <v>2</v>
      </c>
      <c r="F24">
        <v>2</v>
      </c>
      <c r="G24" t="s">
        <v>67</v>
      </c>
      <c r="H24">
        <v>0</v>
      </c>
      <c r="I24">
        <v>0</v>
      </c>
      <c r="J24" t="s">
        <v>67</v>
      </c>
      <c r="K24">
        <v>10</v>
      </c>
      <c r="L24">
        <v>14</v>
      </c>
      <c r="M24">
        <v>3</v>
      </c>
      <c r="N24">
        <v>5</v>
      </c>
      <c r="O24">
        <v>13</v>
      </c>
      <c r="P24">
        <v>16</v>
      </c>
      <c r="Q24">
        <v>4</v>
      </c>
      <c r="R24">
        <v>4</v>
      </c>
      <c r="S24">
        <v>2</v>
      </c>
      <c r="T24">
        <v>2</v>
      </c>
      <c r="U24">
        <v>0</v>
      </c>
      <c r="V24">
        <v>0</v>
      </c>
      <c r="W24">
        <v>4.75</v>
      </c>
      <c r="X24">
        <v>3.6</v>
      </c>
      <c r="Y24">
        <v>1.73</v>
      </c>
      <c r="Z24">
        <v>4.75</v>
      </c>
      <c r="AA24">
        <v>3.6</v>
      </c>
      <c r="AB24">
        <v>1.72</v>
      </c>
      <c r="AC24">
        <v>4.5</v>
      </c>
      <c r="AD24">
        <v>3.5</v>
      </c>
      <c r="AE24">
        <v>1.75</v>
      </c>
      <c r="AF24">
        <v>4.5</v>
      </c>
      <c r="AG24">
        <v>3.4</v>
      </c>
      <c r="AH24">
        <v>1.83</v>
      </c>
      <c r="AI24">
        <v>4.8099999999999996</v>
      </c>
      <c r="AJ24">
        <v>3.56</v>
      </c>
      <c r="AK24">
        <v>1.88</v>
      </c>
      <c r="AL24">
        <v>4.4000000000000004</v>
      </c>
      <c r="AM24">
        <v>3.5</v>
      </c>
      <c r="AN24">
        <v>1.83</v>
      </c>
      <c r="AO24">
        <v>4.33</v>
      </c>
      <c r="AP24">
        <v>3.5</v>
      </c>
      <c r="AQ24">
        <v>1.8</v>
      </c>
      <c r="AR24">
        <v>4.75</v>
      </c>
      <c r="AS24">
        <v>3.6</v>
      </c>
      <c r="AT24">
        <v>1.85</v>
      </c>
      <c r="AU24">
        <v>36</v>
      </c>
      <c r="AV24">
        <v>5.2</v>
      </c>
      <c r="AW24">
        <v>4.38</v>
      </c>
      <c r="AX24">
        <v>3.8</v>
      </c>
      <c r="AY24">
        <v>3.52</v>
      </c>
      <c r="AZ24">
        <v>1.91</v>
      </c>
      <c r="BA24">
        <v>1.82</v>
      </c>
      <c r="BB24">
        <v>34</v>
      </c>
      <c r="BC24">
        <v>2.13</v>
      </c>
      <c r="BD24">
        <v>2.04</v>
      </c>
      <c r="BE24">
        <v>1.87</v>
      </c>
      <c r="BF24">
        <v>1.77</v>
      </c>
      <c r="BG24">
        <v>18</v>
      </c>
      <c r="BH24">
        <v>0.5</v>
      </c>
      <c r="BI24">
        <v>2.08</v>
      </c>
      <c r="BJ24">
        <v>2.0299999999999998</v>
      </c>
      <c r="BK24">
        <v>1.88</v>
      </c>
      <c r="BL24">
        <v>1.84</v>
      </c>
      <c r="BM24">
        <v>4.59</v>
      </c>
      <c r="BN24">
        <v>3.59</v>
      </c>
      <c r="BO24">
        <v>1.91</v>
      </c>
    </row>
    <row r="25" spans="1:67">
      <c r="A25" t="s">
        <v>63</v>
      </c>
      <c r="B25" s="77">
        <v>41532</v>
      </c>
      <c r="C25" t="s">
        <v>85</v>
      </c>
      <c r="D25" t="s">
        <v>71</v>
      </c>
      <c r="E25">
        <v>1</v>
      </c>
      <c r="F25">
        <v>1</v>
      </c>
      <c r="G25" t="s">
        <v>67</v>
      </c>
      <c r="H25">
        <v>0</v>
      </c>
      <c r="I25">
        <v>0</v>
      </c>
      <c r="J25" t="s">
        <v>67</v>
      </c>
      <c r="K25">
        <v>16</v>
      </c>
      <c r="L25">
        <v>6</v>
      </c>
      <c r="M25">
        <v>2</v>
      </c>
      <c r="N25">
        <v>1</v>
      </c>
      <c r="O25">
        <v>12</v>
      </c>
      <c r="P25">
        <v>17</v>
      </c>
      <c r="Q25">
        <v>4</v>
      </c>
      <c r="R25">
        <v>9</v>
      </c>
      <c r="S25">
        <v>1</v>
      </c>
      <c r="T25">
        <v>3</v>
      </c>
      <c r="U25">
        <v>1</v>
      </c>
      <c r="V25">
        <v>0</v>
      </c>
      <c r="W25">
        <v>1.44</v>
      </c>
      <c r="X25">
        <v>4.33</v>
      </c>
      <c r="Y25">
        <v>7</v>
      </c>
      <c r="Z25">
        <v>1.36</v>
      </c>
      <c r="AA25">
        <v>4.75</v>
      </c>
      <c r="AB25">
        <v>8.25</v>
      </c>
      <c r="AC25">
        <v>1.4</v>
      </c>
      <c r="AD25">
        <v>4.4000000000000004</v>
      </c>
      <c r="AE25">
        <v>7.3</v>
      </c>
      <c r="AF25">
        <v>1.44</v>
      </c>
      <c r="AG25">
        <v>4.33</v>
      </c>
      <c r="AH25">
        <v>6.5</v>
      </c>
      <c r="AI25">
        <v>1.43</v>
      </c>
      <c r="AJ25">
        <v>4.7699999999999996</v>
      </c>
      <c r="AK25">
        <v>8.8000000000000007</v>
      </c>
      <c r="AL25">
        <v>1.44</v>
      </c>
      <c r="AM25">
        <v>4.4000000000000004</v>
      </c>
      <c r="AN25">
        <v>7</v>
      </c>
      <c r="AO25">
        <v>1.4</v>
      </c>
      <c r="AP25">
        <v>4.33</v>
      </c>
      <c r="AQ25">
        <v>7.5</v>
      </c>
      <c r="AR25">
        <v>1.45</v>
      </c>
      <c r="AS25">
        <v>4.75</v>
      </c>
      <c r="AT25">
        <v>7.5</v>
      </c>
      <c r="AU25">
        <v>36</v>
      </c>
      <c r="AV25">
        <v>1.46</v>
      </c>
      <c r="AW25">
        <v>1.43</v>
      </c>
      <c r="AX25">
        <v>4.8</v>
      </c>
      <c r="AY25">
        <v>4.3499999999999996</v>
      </c>
      <c r="AZ25">
        <v>8.81</v>
      </c>
      <c r="BA25">
        <v>7.48</v>
      </c>
      <c r="BB25">
        <v>32</v>
      </c>
      <c r="BC25">
        <v>1.73</v>
      </c>
      <c r="BD25">
        <v>1.68</v>
      </c>
      <c r="BE25">
        <v>2.2999999999999998</v>
      </c>
      <c r="BF25">
        <v>2.16</v>
      </c>
      <c r="BG25">
        <v>21</v>
      </c>
      <c r="BH25">
        <v>-1</v>
      </c>
      <c r="BI25">
        <v>1.75</v>
      </c>
      <c r="BJ25">
        <v>1.71</v>
      </c>
      <c r="BK25">
        <v>2.2599999999999998</v>
      </c>
      <c r="BL25">
        <v>2.17</v>
      </c>
      <c r="BM25">
        <v>1.55</v>
      </c>
      <c r="BN25">
        <v>4.1500000000000004</v>
      </c>
      <c r="BO25">
        <v>7.52</v>
      </c>
    </row>
    <row r="26" spans="1:67">
      <c r="A26" t="s">
        <v>63</v>
      </c>
      <c r="B26" s="77">
        <v>41532</v>
      </c>
      <c r="C26" t="s">
        <v>75</v>
      </c>
      <c r="D26" t="s">
        <v>82</v>
      </c>
      <c r="E26">
        <v>3</v>
      </c>
      <c r="F26">
        <v>0</v>
      </c>
      <c r="G26" t="s">
        <v>70</v>
      </c>
      <c r="H26">
        <v>3</v>
      </c>
      <c r="I26">
        <v>0</v>
      </c>
      <c r="J26" t="s">
        <v>70</v>
      </c>
      <c r="K26">
        <v>14</v>
      </c>
      <c r="L26">
        <v>14</v>
      </c>
      <c r="M26">
        <v>6</v>
      </c>
      <c r="N26">
        <v>5</v>
      </c>
      <c r="O26">
        <v>14</v>
      </c>
      <c r="P26">
        <v>10</v>
      </c>
      <c r="Q26">
        <v>3</v>
      </c>
      <c r="R26">
        <v>11</v>
      </c>
      <c r="S26">
        <v>2</v>
      </c>
      <c r="T26">
        <v>6</v>
      </c>
      <c r="U26">
        <v>0</v>
      </c>
      <c r="V26">
        <v>0</v>
      </c>
      <c r="W26">
        <v>1.67</v>
      </c>
      <c r="X26">
        <v>3.75</v>
      </c>
      <c r="Y26">
        <v>5</v>
      </c>
      <c r="Z26">
        <v>1.65</v>
      </c>
      <c r="AA26">
        <v>3.6</v>
      </c>
      <c r="AB26">
        <v>5.5</v>
      </c>
      <c r="AC26">
        <v>1.65</v>
      </c>
      <c r="AD26">
        <v>3.6</v>
      </c>
      <c r="AE26">
        <v>5.0999999999999996</v>
      </c>
      <c r="AF26">
        <v>1.66</v>
      </c>
      <c r="AG26">
        <v>3.75</v>
      </c>
      <c r="AH26">
        <v>5</v>
      </c>
      <c r="AI26">
        <v>1.67</v>
      </c>
      <c r="AJ26">
        <v>3.83</v>
      </c>
      <c r="AK26">
        <v>6.24</v>
      </c>
      <c r="AL26">
        <v>1.67</v>
      </c>
      <c r="AM26">
        <v>3.6</v>
      </c>
      <c r="AN26">
        <v>5.5</v>
      </c>
      <c r="AO26">
        <v>1.62</v>
      </c>
      <c r="AP26">
        <v>3.6</v>
      </c>
      <c r="AQ26">
        <v>5.25</v>
      </c>
      <c r="AR26">
        <v>1.7</v>
      </c>
      <c r="AS26">
        <v>3.8</v>
      </c>
      <c r="AT26">
        <v>5.75</v>
      </c>
      <c r="AU26">
        <v>36</v>
      </c>
      <c r="AV26">
        <v>1.73</v>
      </c>
      <c r="AW26">
        <v>1.66</v>
      </c>
      <c r="AX26">
        <v>3.9</v>
      </c>
      <c r="AY26">
        <v>3.68</v>
      </c>
      <c r="AZ26">
        <v>6.24</v>
      </c>
      <c r="BA26">
        <v>5.33</v>
      </c>
      <c r="BB26">
        <v>32</v>
      </c>
      <c r="BC26">
        <v>2.21</v>
      </c>
      <c r="BD26">
        <v>2.11</v>
      </c>
      <c r="BE26">
        <v>1.82</v>
      </c>
      <c r="BF26">
        <v>1.71</v>
      </c>
      <c r="BG26">
        <v>21</v>
      </c>
      <c r="BH26">
        <v>-1</v>
      </c>
      <c r="BI26">
        <v>2.29</v>
      </c>
      <c r="BJ26">
        <v>2.2200000000000002</v>
      </c>
      <c r="BK26">
        <v>1.79</v>
      </c>
      <c r="BL26">
        <v>1.69</v>
      </c>
      <c r="BM26">
        <v>1.66</v>
      </c>
      <c r="BN26">
        <v>3.8</v>
      </c>
      <c r="BO26">
        <v>6.43</v>
      </c>
    </row>
    <row r="27" spans="1:67">
      <c r="A27" t="s">
        <v>63</v>
      </c>
      <c r="B27" s="77">
        <v>41532</v>
      </c>
      <c r="C27" t="s">
        <v>77</v>
      </c>
      <c r="D27" t="s">
        <v>86</v>
      </c>
      <c r="E27">
        <v>2</v>
      </c>
      <c r="F27">
        <v>0</v>
      </c>
      <c r="G27" t="s">
        <v>70</v>
      </c>
      <c r="H27">
        <v>0</v>
      </c>
      <c r="I27">
        <v>0</v>
      </c>
      <c r="J27" t="s">
        <v>67</v>
      </c>
      <c r="K27">
        <v>16</v>
      </c>
      <c r="L27">
        <v>15</v>
      </c>
      <c r="M27">
        <v>4</v>
      </c>
      <c r="N27">
        <v>2</v>
      </c>
      <c r="O27">
        <v>21</v>
      </c>
      <c r="P27">
        <v>20</v>
      </c>
      <c r="Q27">
        <v>2</v>
      </c>
      <c r="R27">
        <v>8</v>
      </c>
      <c r="S27">
        <v>4</v>
      </c>
      <c r="T27">
        <v>3</v>
      </c>
      <c r="U27">
        <v>0</v>
      </c>
      <c r="V27">
        <v>0</v>
      </c>
      <c r="W27">
        <v>2.5</v>
      </c>
      <c r="X27">
        <v>3.2</v>
      </c>
      <c r="Y27">
        <v>2.88</v>
      </c>
      <c r="Z27">
        <v>2.5</v>
      </c>
      <c r="AA27">
        <v>3.2</v>
      </c>
      <c r="AB27">
        <v>2.85</v>
      </c>
      <c r="AC27">
        <v>2.4</v>
      </c>
      <c r="AD27">
        <v>3.2</v>
      </c>
      <c r="AE27">
        <v>2.85</v>
      </c>
      <c r="AF27">
        <v>2.4</v>
      </c>
      <c r="AG27">
        <v>3.2</v>
      </c>
      <c r="AH27">
        <v>2.9</v>
      </c>
      <c r="AI27">
        <v>2.66</v>
      </c>
      <c r="AJ27">
        <v>3.16</v>
      </c>
      <c r="AK27">
        <v>3.05</v>
      </c>
      <c r="AL27">
        <v>2.5</v>
      </c>
      <c r="AM27">
        <v>3.3</v>
      </c>
      <c r="AN27">
        <v>2.8</v>
      </c>
      <c r="AO27">
        <v>2.5</v>
      </c>
      <c r="AP27">
        <v>3.2</v>
      </c>
      <c r="AQ27">
        <v>2.8</v>
      </c>
      <c r="AR27">
        <v>2.6</v>
      </c>
      <c r="AS27">
        <v>3.25</v>
      </c>
      <c r="AT27">
        <v>3</v>
      </c>
      <c r="AU27">
        <v>36</v>
      </c>
      <c r="AV27">
        <v>2.66</v>
      </c>
      <c r="AW27">
        <v>2.5</v>
      </c>
      <c r="AX27">
        <v>3.3</v>
      </c>
      <c r="AY27">
        <v>3.19</v>
      </c>
      <c r="AZ27">
        <v>3.05</v>
      </c>
      <c r="BA27">
        <v>2.85</v>
      </c>
      <c r="BB27">
        <v>34</v>
      </c>
      <c r="BC27">
        <v>2.15</v>
      </c>
      <c r="BD27">
        <v>2.04</v>
      </c>
      <c r="BE27">
        <v>1.87</v>
      </c>
      <c r="BF27">
        <v>1.76</v>
      </c>
      <c r="BG27">
        <v>18</v>
      </c>
      <c r="BH27">
        <v>0</v>
      </c>
      <c r="BI27">
        <v>1.85</v>
      </c>
      <c r="BJ27">
        <v>1.8</v>
      </c>
      <c r="BK27">
        <v>2.11</v>
      </c>
      <c r="BL27">
        <v>2.0499999999999998</v>
      </c>
      <c r="BM27">
        <v>2.4300000000000002</v>
      </c>
      <c r="BN27">
        <v>3.4</v>
      </c>
      <c r="BO27">
        <v>3.19</v>
      </c>
    </row>
    <row r="28" spans="1:67">
      <c r="A28" t="s">
        <v>63</v>
      </c>
      <c r="B28" s="77">
        <v>41532</v>
      </c>
      <c r="C28" t="s">
        <v>64</v>
      </c>
      <c r="D28" t="s">
        <v>74</v>
      </c>
      <c r="E28">
        <v>0</v>
      </c>
      <c r="F28">
        <v>3</v>
      </c>
      <c r="G28" t="s">
        <v>66</v>
      </c>
      <c r="H28">
        <v>0</v>
      </c>
      <c r="I28">
        <v>1</v>
      </c>
      <c r="J28" t="s">
        <v>66</v>
      </c>
      <c r="K28">
        <v>20</v>
      </c>
      <c r="L28">
        <v>4</v>
      </c>
      <c r="M28">
        <v>2</v>
      </c>
      <c r="N28">
        <v>3</v>
      </c>
      <c r="O28">
        <v>21</v>
      </c>
      <c r="P28">
        <v>21</v>
      </c>
      <c r="Q28">
        <v>6</v>
      </c>
      <c r="R28">
        <v>3</v>
      </c>
      <c r="S28">
        <v>5</v>
      </c>
      <c r="T28">
        <v>3</v>
      </c>
      <c r="U28">
        <v>0</v>
      </c>
      <c r="V28">
        <v>0</v>
      </c>
      <c r="W28">
        <v>2.4</v>
      </c>
      <c r="X28">
        <v>3.1</v>
      </c>
      <c r="Y28">
        <v>3.1</v>
      </c>
      <c r="Z28">
        <v>2.4</v>
      </c>
      <c r="AA28">
        <v>3.3</v>
      </c>
      <c r="AB28">
        <v>3.1</v>
      </c>
      <c r="AC28">
        <v>2.4</v>
      </c>
      <c r="AD28">
        <v>3.2</v>
      </c>
      <c r="AE28">
        <v>2.85</v>
      </c>
      <c r="AF28">
        <v>2.25</v>
      </c>
      <c r="AG28">
        <v>3.25</v>
      </c>
      <c r="AH28">
        <v>3.2</v>
      </c>
      <c r="AI28">
        <v>2.4900000000000002</v>
      </c>
      <c r="AJ28">
        <v>3.14</v>
      </c>
      <c r="AK28">
        <v>3.33</v>
      </c>
      <c r="AL28">
        <v>2.4</v>
      </c>
      <c r="AM28">
        <v>3.1</v>
      </c>
      <c r="AN28">
        <v>3.1</v>
      </c>
      <c r="AO28">
        <v>2.38</v>
      </c>
      <c r="AP28">
        <v>3.13</v>
      </c>
      <c r="AQ28">
        <v>3</v>
      </c>
      <c r="AR28">
        <v>2.5</v>
      </c>
      <c r="AS28">
        <v>3.2</v>
      </c>
      <c r="AT28">
        <v>3.25</v>
      </c>
      <c r="AU28">
        <v>36</v>
      </c>
      <c r="AV28">
        <v>2.5</v>
      </c>
      <c r="AW28">
        <v>2.39</v>
      </c>
      <c r="AX28">
        <v>3.3</v>
      </c>
      <c r="AY28">
        <v>3.14</v>
      </c>
      <c r="AZ28">
        <v>3.34</v>
      </c>
      <c r="BA28">
        <v>3.06</v>
      </c>
      <c r="BB28">
        <v>32</v>
      </c>
      <c r="BC28">
        <v>2.36</v>
      </c>
      <c r="BD28">
        <v>2.21</v>
      </c>
      <c r="BE28">
        <v>1.75</v>
      </c>
      <c r="BF28">
        <v>1.65</v>
      </c>
      <c r="BG28">
        <v>18</v>
      </c>
      <c r="BH28">
        <v>-0.25</v>
      </c>
      <c r="BI28">
        <v>2.11</v>
      </c>
      <c r="BJ28">
        <v>2.0499999999999998</v>
      </c>
      <c r="BK28">
        <v>1.88</v>
      </c>
      <c r="BL28">
        <v>1.83</v>
      </c>
      <c r="BM28">
        <v>2.52</v>
      </c>
      <c r="BN28">
        <v>3.12</v>
      </c>
      <c r="BO28">
        <v>3.3</v>
      </c>
    </row>
    <row r="29" spans="1:67">
      <c r="A29" t="s">
        <v>63</v>
      </c>
      <c r="B29" s="77">
        <v>41532</v>
      </c>
      <c r="C29" t="s">
        <v>76</v>
      </c>
      <c r="D29" t="s">
        <v>80</v>
      </c>
      <c r="E29">
        <v>1</v>
      </c>
      <c r="F29">
        <v>1</v>
      </c>
      <c r="G29" t="s">
        <v>67</v>
      </c>
      <c r="H29">
        <v>0</v>
      </c>
      <c r="I29">
        <v>0</v>
      </c>
      <c r="J29" t="s">
        <v>67</v>
      </c>
      <c r="K29">
        <v>12</v>
      </c>
      <c r="L29">
        <v>8</v>
      </c>
      <c r="M29">
        <v>3</v>
      </c>
      <c r="N29">
        <v>3</v>
      </c>
      <c r="O29">
        <v>14</v>
      </c>
      <c r="P29">
        <v>17</v>
      </c>
      <c r="Q29">
        <v>4</v>
      </c>
      <c r="R29">
        <v>4</v>
      </c>
      <c r="S29">
        <v>1</v>
      </c>
      <c r="T29">
        <v>4</v>
      </c>
      <c r="U29">
        <v>0</v>
      </c>
      <c r="V29">
        <v>0</v>
      </c>
      <c r="W29">
        <v>1.8</v>
      </c>
      <c r="X29">
        <v>3.5</v>
      </c>
      <c r="Y29">
        <v>4.5</v>
      </c>
      <c r="Z29">
        <v>1.72</v>
      </c>
      <c r="AA29">
        <v>3.6</v>
      </c>
      <c r="AB29">
        <v>4.75</v>
      </c>
      <c r="AC29">
        <v>1.75</v>
      </c>
      <c r="AD29">
        <v>3.5</v>
      </c>
      <c r="AE29">
        <v>4.5</v>
      </c>
      <c r="AF29">
        <v>1.83</v>
      </c>
      <c r="AG29">
        <v>3.5</v>
      </c>
      <c r="AH29">
        <v>4.33</v>
      </c>
      <c r="AI29">
        <v>1.85</v>
      </c>
      <c r="AJ29">
        <v>3.53</v>
      </c>
      <c r="AK29">
        <v>4.88</v>
      </c>
      <c r="AL29">
        <v>1.83</v>
      </c>
      <c r="AM29">
        <v>3.5</v>
      </c>
      <c r="AN29">
        <v>4.4000000000000004</v>
      </c>
      <c r="AO29">
        <v>1.8</v>
      </c>
      <c r="AP29">
        <v>3.5</v>
      </c>
      <c r="AQ29">
        <v>4.33</v>
      </c>
      <c r="AR29">
        <v>1.85</v>
      </c>
      <c r="AS29">
        <v>3.6</v>
      </c>
      <c r="AT29">
        <v>4.8</v>
      </c>
      <c r="AU29">
        <v>36</v>
      </c>
      <c r="AV29">
        <v>1.91</v>
      </c>
      <c r="AW29">
        <v>1.81</v>
      </c>
      <c r="AX29">
        <v>3.6</v>
      </c>
      <c r="AY29">
        <v>3.49</v>
      </c>
      <c r="AZ29">
        <v>4.9000000000000004</v>
      </c>
      <c r="BA29">
        <v>4.42</v>
      </c>
      <c r="BB29">
        <v>34</v>
      </c>
      <c r="BC29">
        <v>2.16</v>
      </c>
      <c r="BD29">
        <v>2.0699999999999998</v>
      </c>
      <c r="BE29">
        <v>1.85</v>
      </c>
      <c r="BF29">
        <v>1.74</v>
      </c>
      <c r="BG29">
        <v>18</v>
      </c>
      <c r="BH29">
        <v>-0.75</v>
      </c>
      <c r="BI29">
        <v>2.15</v>
      </c>
      <c r="BJ29">
        <v>2.1</v>
      </c>
      <c r="BK29">
        <v>1.83</v>
      </c>
      <c r="BL29">
        <v>1.78</v>
      </c>
      <c r="BM29">
        <v>1.76</v>
      </c>
      <c r="BN29">
        <v>3.75</v>
      </c>
      <c r="BO29">
        <v>5.43</v>
      </c>
    </row>
    <row r="30" spans="1:67">
      <c r="A30" t="s">
        <v>63</v>
      </c>
      <c r="B30" s="77">
        <v>41532</v>
      </c>
      <c r="C30" t="s">
        <v>68</v>
      </c>
      <c r="D30" t="s">
        <v>84</v>
      </c>
      <c r="E30">
        <v>2</v>
      </c>
      <c r="F30">
        <v>0</v>
      </c>
      <c r="G30" t="s">
        <v>70</v>
      </c>
      <c r="H30">
        <v>1</v>
      </c>
      <c r="I30">
        <v>0</v>
      </c>
      <c r="J30" t="s">
        <v>70</v>
      </c>
      <c r="K30">
        <v>10</v>
      </c>
      <c r="L30">
        <v>18</v>
      </c>
      <c r="M30">
        <v>3</v>
      </c>
      <c r="N30">
        <v>2</v>
      </c>
      <c r="O30">
        <v>18</v>
      </c>
      <c r="P30">
        <v>11</v>
      </c>
      <c r="Q30">
        <v>5</v>
      </c>
      <c r="R30">
        <v>10</v>
      </c>
      <c r="S30">
        <v>3</v>
      </c>
      <c r="T30">
        <v>1</v>
      </c>
      <c r="U30">
        <v>0</v>
      </c>
      <c r="V30">
        <v>0</v>
      </c>
      <c r="W30">
        <v>2.25</v>
      </c>
      <c r="X30">
        <v>3.2</v>
      </c>
      <c r="Y30">
        <v>3.25</v>
      </c>
      <c r="Z30">
        <v>2.15</v>
      </c>
      <c r="AA30">
        <v>3.25</v>
      </c>
      <c r="AB30">
        <v>3.4</v>
      </c>
      <c r="AC30">
        <v>2.1</v>
      </c>
      <c r="AD30">
        <v>3.2</v>
      </c>
      <c r="AE30">
        <v>3.4</v>
      </c>
      <c r="AF30">
        <v>2.1</v>
      </c>
      <c r="AG30">
        <v>3.25</v>
      </c>
      <c r="AH30">
        <v>3.5</v>
      </c>
      <c r="AI30">
        <v>2.17</v>
      </c>
      <c r="AJ30">
        <v>3.32</v>
      </c>
      <c r="AK30">
        <v>3.87</v>
      </c>
      <c r="AL30">
        <v>2.25</v>
      </c>
      <c r="AM30">
        <v>3.2</v>
      </c>
      <c r="AN30">
        <v>3.3</v>
      </c>
      <c r="AO30">
        <v>2.1</v>
      </c>
      <c r="AP30">
        <v>3.2</v>
      </c>
      <c r="AQ30">
        <v>3.4</v>
      </c>
      <c r="AR30">
        <v>2.2000000000000002</v>
      </c>
      <c r="AS30">
        <v>3.3</v>
      </c>
      <c r="AT30">
        <v>3.7</v>
      </c>
      <c r="AU30">
        <v>36</v>
      </c>
      <c r="AV30">
        <v>2.25</v>
      </c>
      <c r="AW30">
        <v>2.16</v>
      </c>
      <c r="AX30">
        <v>3.4</v>
      </c>
      <c r="AY30">
        <v>3.25</v>
      </c>
      <c r="AZ30">
        <v>3.87</v>
      </c>
      <c r="BA30">
        <v>3.4</v>
      </c>
      <c r="BB30">
        <v>34</v>
      </c>
      <c r="BC30">
        <v>2.33</v>
      </c>
      <c r="BD30">
        <v>2.2200000000000002</v>
      </c>
      <c r="BE30">
        <v>1.75</v>
      </c>
      <c r="BF30">
        <v>1.65</v>
      </c>
      <c r="BG30">
        <v>18</v>
      </c>
      <c r="BH30">
        <v>-0.25</v>
      </c>
      <c r="BI30">
        <v>1.88</v>
      </c>
      <c r="BJ30">
        <v>1.84</v>
      </c>
      <c r="BK30">
        <v>2.09</v>
      </c>
      <c r="BL30">
        <v>2.0299999999999998</v>
      </c>
      <c r="BM30">
        <v>2.1800000000000002</v>
      </c>
      <c r="BN30">
        <v>3.41</v>
      </c>
      <c r="BO30">
        <v>3.72</v>
      </c>
    </row>
    <row r="31" spans="1:67">
      <c r="A31" t="s">
        <v>63</v>
      </c>
      <c r="B31" s="77">
        <v>41533</v>
      </c>
      <c r="C31" t="s">
        <v>81</v>
      </c>
      <c r="D31" t="s">
        <v>78</v>
      </c>
      <c r="E31">
        <v>1</v>
      </c>
      <c r="F31">
        <v>3</v>
      </c>
      <c r="G31" t="s">
        <v>66</v>
      </c>
      <c r="H31">
        <v>1</v>
      </c>
      <c r="I31">
        <v>0</v>
      </c>
      <c r="J31" t="s">
        <v>70</v>
      </c>
      <c r="K31">
        <v>11</v>
      </c>
      <c r="L31">
        <v>14</v>
      </c>
      <c r="M31">
        <v>2</v>
      </c>
      <c r="N31">
        <v>8</v>
      </c>
      <c r="O31">
        <v>18</v>
      </c>
      <c r="P31">
        <v>10</v>
      </c>
      <c r="Q31">
        <v>5</v>
      </c>
      <c r="R31">
        <v>2</v>
      </c>
      <c r="S31">
        <v>4</v>
      </c>
      <c r="T31">
        <v>0</v>
      </c>
      <c r="U31">
        <v>0</v>
      </c>
      <c r="V31">
        <v>0</v>
      </c>
      <c r="W31">
        <v>3.1</v>
      </c>
      <c r="X31">
        <v>3.3</v>
      </c>
      <c r="Y31">
        <v>2.2999999999999998</v>
      </c>
      <c r="Z31">
        <v>3.1</v>
      </c>
      <c r="AA31">
        <v>3.4</v>
      </c>
      <c r="AB31">
        <v>2.35</v>
      </c>
      <c r="AC31">
        <v>2.9</v>
      </c>
      <c r="AD31">
        <v>3.3</v>
      </c>
      <c r="AE31">
        <v>2.2999999999999998</v>
      </c>
      <c r="AF31">
        <v>2.9</v>
      </c>
      <c r="AG31">
        <v>3.4</v>
      </c>
      <c r="AH31">
        <v>2.2999999999999998</v>
      </c>
      <c r="AI31">
        <v>3.18</v>
      </c>
      <c r="AJ31">
        <v>3.4</v>
      </c>
      <c r="AK31">
        <v>2.4300000000000002</v>
      </c>
      <c r="AL31">
        <v>2.88</v>
      </c>
      <c r="AM31">
        <v>3.3</v>
      </c>
      <c r="AN31">
        <v>2.4</v>
      </c>
      <c r="AO31">
        <v>2.88</v>
      </c>
      <c r="AP31">
        <v>3.2</v>
      </c>
      <c r="AQ31">
        <v>2.38</v>
      </c>
      <c r="AR31">
        <v>3.1</v>
      </c>
      <c r="AS31">
        <v>3.4</v>
      </c>
      <c r="AT31">
        <v>2.4</v>
      </c>
      <c r="AU31">
        <v>33</v>
      </c>
      <c r="AV31">
        <v>3.18</v>
      </c>
      <c r="AW31">
        <v>2.96</v>
      </c>
      <c r="AX31">
        <v>3.4</v>
      </c>
      <c r="AY31">
        <v>3.26</v>
      </c>
      <c r="AZ31">
        <v>2.5</v>
      </c>
      <c r="BA31">
        <v>2.38</v>
      </c>
      <c r="BB31">
        <v>31</v>
      </c>
      <c r="BC31">
        <v>1.92</v>
      </c>
      <c r="BD31">
        <v>1.86</v>
      </c>
      <c r="BE31">
        <v>2.04</v>
      </c>
      <c r="BF31">
        <v>1.94</v>
      </c>
      <c r="BG31">
        <v>16</v>
      </c>
      <c r="BH31">
        <v>0</v>
      </c>
      <c r="BI31">
        <v>2.25</v>
      </c>
      <c r="BJ31">
        <v>2.16</v>
      </c>
      <c r="BK31">
        <v>1.76</v>
      </c>
      <c r="BL31">
        <v>1.7</v>
      </c>
      <c r="BM31">
        <v>3.3</v>
      </c>
      <c r="BN31">
        <v>3.48</v>
      </c>
      <c r="BO31">
        <v>2.33</v>
      </c>
    </row>
    <row r="32" spans="1:67">
      <c r="A32" t="s">
        <v>63</v>
      </c>
      <c r="B32" s="77">
        <v>41538</v>
      </c>
      <c r="C32" t="s">
        <v>71</v>
      </c>
      <c r="D32" t="s">
        <v>64</v>
      </c>
      <c r="E32">
        <v>2</v>
      </c>
      <c r="F32">
        <v>2</v>
      </c>
      <c r="G32" t="s">
        <v>67</v>
      </c>
      <c r="H32">
        <v>1</v>
      </c>
      <c r="I32">
        <v>0</v>
      </c>
      <c r="J32" t="s">
        <v>70</v>
      </c>
      <c r="K32">
        <v>13</v>
      </c>
      <c r="L32">
        <v>15</v>
      </c>
      <c r="M32">
        <v>4</v>
      </c>
      <c r="N32">
        <v>4</v>
      </c>
      <c r="O32">
        <v>15</v>
      </c>
      <c r="P32">
        <v>17</v>
      </c>
      <c r="Q32">
        <v>3</v>
      </c>
      <c r="R32">
        <v>3</v>
      </c>
      <c r="S32">
        <v>3</v>
      </c>
      <c r="T32">
        <v>3</v>
      </c>
      <c r="U32">
        <v>0</v>
      </c>
      <c r="V32">
        <v>0</v>
      </c>
      <c r="W32">
        <v>2.1</v>
      </c>
      <c r="X32">
        <v>3.2</v>
      </c>
      <c r="Y32">
        <v>3.6</v>
      </c>
      <c r="Z32">
        <v>2.15</v>
      </c>
      <c r="AA32">
        <v>3.2</v>
      </c>
      <c r="AB32">
        <v>3.5</v>
      </c>
      <c r="AC32">
        <v>2</v>
      </c>
      <c r="AD32">
        <v>3.3</v>
      </c>
      <c r="AE32">
        <v>3.6</v>
      </c>
      <c r="AF32">
        <v>2.1</v>
      </c>
      <c r="AG32">
        <v>3.3</v>
      </c>
      <c r="AH32">
        <v>3.5</v>
      </c>
      <c r="AI32">
        <v>2.11</v>
      </c>
      <c r="AJ32">
        <v>3.36</v>
      </c>
      <c r="AK32">
        <v>4.0199999999999996</v>
      </c>
      <c r="AL32">
        <v>2.15</v>
      </c>
      <c r="AM32">
        <v>3.25</v>
      </c>
      <c r="AN32">
        <v>3.5</v>
      </c>
      <c r="AO32">
        <v>2.0499999999999998</v>
      </c>
      <c r="AP32">
        <v>3.2</v>
      </c>
      <c r="AQ32">
        <v>3.5</v>
      </c>
      <c r="AR32">
        <v>2.15</v>
      </c>
      <c r="AS32">
        <v>3.3</v>
      </c>
      <c r="AT32">
        <v>3.8</v>
      </c>
      <c r="AU32">
        <v>36</v>
      </c>
      <c r="AV32">
        <v>2.2000000000000002</v>
      </c>
      <c r="AW32">
        <v>2.1</v>
      </c>
      <c r="AX32">
        <v>3.4</v>
      </c>
      <c r="AY32">
        <v>3.22</v>
      </c>
      <c r="AZ32">
        <v>4.0199999999999996</v>
      </c>
      <c r="BA32">
        <v>3.58</v>
      </c>
      <c r="BB32">
        <v>33</v>
      </c>
      <c r="BC32">
        <v>2.31</v>
      </c>
      <c r="BD32">
        <v>2.17</v>
      </c>
      <c r="BE32">
        <v>1.8</v>
      </c>
      <c r="BF32">
        <v>1.68</v>
      </c>
      <c r="BG32">
        <v>18</v>
      </c>
      <c r="BH32">
        <v>-0.5</v>
      </c>
      <c r="BI32">
        <v>2.15</v>
      </c>
      <c r="BJ32">
        <v>2.1</v>
      </c>
      <c r="BK32">
        <v>1.83</v>
      </c>
      <c r="BL32">
        <v>1.78</v>
      </c>
      <c r="BM32">
        <v>2.0699999999999998</v>
      </c>
      <c r="BN32">
        <v>3.33</v>
      </c>
      <c r="BO32">
        <v>4.28</v>
      </c>
    </row>
    <row r="33" spans="1:67">
      <c r="A33" t="s">
        <v>63</v>
      </c>
      <c r="B33" s="77">
        <v>41538</v>
      </c>
      <c r="C33" t="s">
        <v>82</v>
      </c>
      <c r="D33" t="s">
        <v>76</v>
      </c>
      <c r="E33">
        <v>2</v>
      </c>
      <c r="F33">
        <v>1</v>
      </c>
      <c r="G33" t="s">
        <v>70</v>
      </c>
      <c r="H33">
        <v>2</v>
      </c>
      <c r="I33">
        <v>1</v>
      </c>
      <c r="J33" t="s">
        <v>70</v>
      </c>
      <c r="K33">
        <v>13</v>
      </c>
      <c r="L33">
        <v>14</v>
      </c>
      <c r="M33">
        <v>5</v>
      </c>
      <c r="N33">
        <v>3</v>
      </c>
      <c r="O33">
        <v>17</v>
      </c>
      <c r="P33">
        <v>18</v>
      </c>
      <c r="Q33">
        <v>9</v>
      </c>
      <c r="R33">
        <v>4</v>
      </c>
      <c r="S33">
        <v>5</v>
      </c>
      <c r="T33">
        <v>3</v>
      </c>
      <c r="U33">
        <v>0</v>
      </c>
      <c r="V33">
        <v>0</v>
      </c>
      <c r="W33">
        <v>2.75</v>
      </c>
      <c r="X33">
        <v>3.2</v>
      </c>
      <c r="Y33">
        <v>2.6</v>
      </c>
      <c r="Z33">
        <v>2.65</v>
      </c>
      <c r="AA33">
        <v>3.2</v>
      </c>
      <c r="AB33">
        <v>2.65</v>
      </c>
      <c r="AC33">
        <v>2.6</v>
      </c>
      <c r="AD33">
        <v>3.2</v>
      </c>
      <c r="AE33">
        <v>2.6</v>
      </c>
      <c r="AF33">
        <v>2.7</v>
      </c>
      <c r="AG33">
        <v>3.2</v>
      </c>
      <c r="AH33">
        <v>2.62</v>
      </c>
      <c r="AI33">
        <v>2.75</v>
      </c>
      <c r="AJ33">
        <v>3.25</v>
      </c>
      <c r="AK33">
        <v>2.87</v>
      </c>
      <c r="AL33">
        <v>2.75</v>
      </c>
      <c r="AM33">
        <v>3.2</v>
      </c>
      <c r="AN33">
        <v>2.62</v>
      </c>
      <c r="AO33">
        <v>2.63</v>
      </c>
      <c r="AP33">
        <v>3.2</v>
      </c>
      <c r="AQ33">
        <v>2.6</v>
      </c>
      <c r="AR33">
        <v>2.75</v>
      </c>
      <c r="AS33">
        <v>3.25</v>
      </c>
      <c r="AT33">
        <v>2.8</v>
      </c>
      <c r="AU33">
        <v>36</v>
      </c>
      <c r="AV33">
        <v>2.78</v>
      </c>
      <c r="AW33">
        <v>2.66</v>
      </c>
      <c r="AX33">
        <v>3.25</v>
      </c>
      <c r="AY33">
        <v>3.17</v>
      </c>
      <c r="AZ33">
        <v>2.88</v>
      </c>
      <c r="BA33">
        <v>2.68</v>
      </c>
      <c r="BB33">
        <v>34</v>
      </c>
      <c r="BC33">
        <v>2.33</v>
      </c>
      <c r="BD33">
        <v>2.2200000000000002</v>
      </c>
      <c r="BE33">
        <v>1.75</v>
      </c>
      <c r="BF33">
        <v>1.65</v>
      </c>
      <c r="BG33">
        <v>18</v>
      </c>
      <c r="BH33">
        <v>0.25</v>
      </c>
      <c r="BI33">
        <v>1.67</v>
      </c>
      <c r="BJ33">
        <v>1.63</v>
      </c>
      <c r="BK33">
        <v>2.46</v>
      </c>
      <c r="BL33">
        <v>2.33</v>
      </c>
      <c r="BM33">
        <v>3.03</v>
      </c>
      <c r="BN33">
        <v>3.15</v>
      </c>
      <c r="BO33">
        <v>2.68</v>
      </c>
    </row>
    <row r="34" spans="1:67">
      <c r="A34" t="s">
        <v>63</v>
      </c>
      <c r="B34" s="77">
        <v>41538</v>
      </c>
      <c r="C34" t="s">
        <v>74</v>
      </c>
      <c r="D34" t="s">
        <v>77</v>
      </c>
      <c r="E34">
        <v>0</v>
      </c>
      <c r="F34">
        <v>0</v>
      </c>
      <c r="G34" t="s">
        <v>67</v>
      </c>
      <c r="H34">
        <v>0</v>
      </c>
      <c r="I34">
        <v>0</v>
      </c>
      <c r="J34" t="s">
        <v>67</v>
      </c>
      <c r="K34">
        <v>10</v>
      </c>
      <c r="L34">
        <v>9</v>
      </c>
      <c r="M34">
        <v>4</v>
      </c>
      <c r="N34">
        <v>4</v>
      </c>
      <c r="O34">
        <v>16</v>
      </c>
      <c r="P34">
        <v>16</v>
      </c>
      <c r="Q34">
        <v>6</v>
      </c>
      <c r="R34">
        <v>5</v>
      </c>
      <c r="S34">
        <v>4</v>
      </c>
      <c r="T34">
        <v>1</v>
      </c>
      <c r="U34">
        <v>0</v>
      </c>
      <c r="V34">
        <v>0</v>
      </c>
      <c r="W34">
        <v>1.75</v>
      </c>
      <c r="X34">
        <v>3.5</v>
      </c>
      <c r="Y34">
        <v>4.75</v>
      </c>
      <c r="Z34">
        <v>1.75</v>
      </c>
      <c r="AA34">
        <v>3.6</v>
      </c>
      <c r="AB34">
        <v>4.5999999999999996</v>
      </c>
      <c r="AC34">
        <v>1.75</v>
      </c>
      <c r="AD34">
        <v>3.5</v>
      </c>
      <c r="AE34">
        <v>4.5</v>
      </c>
      <c r="AF34">
        <v>1.85</v>
      </c>
      <c r="AG34">
        <v>3.4</v>
      </c>
      <c r="AH34">
        <v>4.33</v>
      </c>
      <c r="AI34">
        <v>1.88</v>
      </c>
      <c r="AJ34">
        <v>3.52</v>
      </c>
      <c r="AK34">
        <v>4.8499999999999996</v>
      </c>
      <c r="AL34">
        <v>1.83</v>
      </c>
      <c r="AM34">
        <v>3.5</v>
      </c>
      <c r="AN34">
        <v>4.4000000000000004</v>
      </c>
      <c r="AO34">
        <v>1.8</v>
      </c>
      <c r="AP34">
        <v>3.4</v>
      </c>
      <c r="AQ34">
        <v>4.5</v>
      </c>
      <c r="AR34">
        <v>1.83</v>
      </c>
      <c r="AS34">
        <v>3.5</v>
      </c>
      <c r="AT34">
        <v>4.8</v>
      </c>
      <c r="AU34">
        <v>36</v>
      </c>
      <c r="AV34">
        <v>1.88</v>
      </c>
      <c r="AW34">
        <v>1.81</v>
      </c>
      <c r="AX34">
        <v>3.6</v>
      </c>
      <c r="AY34">
        <v>3.45</v>
      </c>
      <c r="AZ34">
        <v>5.2</v>
      </c>
      <c r="BA34">
        <v>4.45</v>
      </c>
      <c r="BB34">
        <v>34</v>
      </c>
      <c r="BC34">
        <v>2.17</v>
      </c>
      <c r="BD34">
        <v>2.0699999999999998</v>
      </c>
      <c r="BE34">
        <v>1.85</v>
      </c>
      <c r="BF34">
        <v>1.74</v>
      </c>
      <c r="BG34">
        <v>18</v>
      </c>
      <c r="BH34">
        <v>-0.5</v>
      </c>
      <c r="BI34">
        <v>1.88</v>
      </c>
      <c r="BJ34">
        <v>1.84</v>
      </c>
      <c r="BK34">
        <v>2.08</v>
      </c>
      <c r="BL34">
        <v>2.0299999999999998</v>
      </c>
      <c r="BM34">
        <v>1.92</v>
      </c>
      <c r="BN34">
        <v>3.46</v>
      </c>
      <c r="BO34">
        <v>4.75</v>
      </c>
    </row>
    <row r="35" spans="1:67">
      <c r="A35" t="s">
        <v>63</v>
      </c>
      <c r="B35" s="77">
        <v>41539</v>
      </c>
      <c r="C35" t="s">
        <v>72</v>
      </c>
      <c r="D35" t="s">
        <v>85</v>
      </c>
      <c r="E35">
        <v>0</v>
      </c>
      <c r="F35">
        <v>2</v>
      </c>
      <c r="G35" t="s">
        <v>66</v>
      </c>
      <c r="H35">
        <v>0</v>
      </c>
      <c r="I35">
        <v>1</v>
      </c>
      <c r="J35" t="s">
        <v>66</v>
      </c>
      <c r="K35">
        <v>16</v>
      </c>
      <c r="L35">
        <v>12</v>
      </c>
      <c r="M35">
        <v>2</v>
      </c>
      <c r="N35">
        <v>5</v>
      </c>
      <c r="O35">
        <v>19</v>
      </c>
      <c r="P35">
        <v>15</v>
      </c>
      <c r="Q35">
        <v>9</v>
      </c>
      <c r="R35">
        <v>3</v>
      </c>
      <c r="S35">
        <v>3</v>
      </c>
      <c r="T35">
        <v>1</v>
      </c>
      <c r="U35">
        <v>0</v>
      </c>
      <c r="V35">
        <v>0</v>
      </c>
      <c r="W35">
        <v>2.8</v>
      </c>
      <c r="X35">
        <v>3.4</v>
      </c>
      <c r="Y35">
        <v>2.4</v>
      </c>
      <c r="Z35">
        <v>2.9</v>
      </c>
      <c r="AA35">
        <v>3.25</v>
      </c>
      <c r="AB35">
        <v>2.4500000000000002</v>
      </c>
      <c r="AC35">
        <v>2.85</v>
      </c>
      <c r="AD35">
        <v>3.2</v>
      </c>
      <c r="AE35">
        <v>2.4</v>
      </c>
      <c r="AF35">
        <v>2.75</v>
      </c>
      <c r="AG35">
        <v>3.3</v>
      </c>
      <c r="AH35">
        <v>2.5</v>
      </c>
      <c r="AI35">
        <v>3.19</v>
      </c>
      <c r="AJ35">
        <v>3.36</v>
      </c>
      <c r="AK35">
        <v>2.44</v>
      </c>
      <c r="AL35">
        <v>2.88</v>
      </c>
      <c r="AM35">
        <v>3.3</v>
      </c>
      <c r="AN35">
        <v>2.4500000000000002</v>
      </c>
      <c r="AO35">
        <v>2.8</v>
      </c>
      <c r="AP35">
        <v>3.25</v>
      </c>
      <c r="AQ35">
        <v>2.4</v>
      </c>
      <c r="AR35">
        <v>3.1</v>
      </c>
      <c r="AS35">
        <v>3.4</v>
      </c>
      <c r="AT35">
        <v>2.4500000000000002</v>
      </c>
      <c r="AU35">
        <v>36</v>
      </c>
      <c r="AV35">
        <v>3.16</v>
      </c>
      <c r="AW35">
        <v>2.92</v>
      </c>
      <c r="AX35">
        <v>3.4</v>
      </c>
      <c r="AY35">
        <v>3.22</v>
      </c>
      <c r="AZ35">
        <v>2.5</v>
      </c>
      <c r="BA35">
        <v>2.4300000000000002</v>
      </c>
      <c r="BB35">
        <v>34</v>
      </c>
      <c r="BC35">
        <v>2.1</v>
      </c>
      <c r="BD35">
        <v>2.0099999999999998</v>
      </c>
      <c r="BE35">
        <v>1.9</v>
      </c>
      <c r="BF35">
        <v>1.79</v>
      </c>
      <c r="BG35">
        <v>16</v>
      </c>
      <c r="BH35">
        <v>0.25</v>
      </c>
      <c r="BI35">
        <v>1.84</v>
      </c>
      <c r="BJ35">
        <v>1.8</v>
      </c>
      <c r="BK35">
        <v>2.13</v>
      </c>
      <c r="BL35">
        <v>2.09</v>
      </c>
      <c r="BM35">
        <v>3.92</v>
      </c>
      <c r="BN35">
        <v>3.31</v>
      </c>
      <c r="BO35">
        <v>2.16</v>
      </c>
    </row>
    <row r="36" spans="1:67">
      <c r="A36" t="s">
        <v>63</v>
      </c>
      <c r="B36" s="77">
        <v>41539</v>
      </c>
      <c r="C36" t="s">
        <v>80</v>
      </c>
      <c r="D36" t="s">
        <v>83</v>
      </c>
      <c r="E36">
        <v>1</v>
      </c>
      <c r="F36">
        <v>2</v>
      </c>
      <c r="G36" t="s">
        <v>66</v>
      </c>
      <c r="H36">
        <v>1</v>
      </c>
      <c r="I36">
        <v>2</v>
      </c>
      <c r="J36" t="s">
        <v>66</v>
      </c>
      <c r="K36">
        <v>13</v>
      </c>
      <c r="L36">
        <v>10</v>
      </c>
      <c r="M36">
        <v>3</v>
      </c>
      <c r="N36">
        <v>6</v>
      </c>
      <c r="O36">
        <v>18</v>
      </c>
      <c r="P36">
        <v>20</v>
      </c>
      <c r="Q36">
        <v>1</v>
      </c>
      <c r="R36">
        <v>5</v>
      </c>
      <c r="S36">
        <v>5</v>
      </c>
      <c r="T36">
        <v>6</v>
      </c>
      <c r="U36">
        <v>1</v>
      </c>
      <c r="V36">
        <v>0</v>
      </c>
      <c r="W36">
        <v>2.15</v>
      </c>
      <c r="X36">
        <v>3.2</v>
      </c>
      <c r="Y36">
        <v>3.5</v>
      </c>
      <c r="Z36">
        <v>2.15</v>
      </c>
      <c r="AA36">
        <v>3.25</v>
      </c>
      <c r="AB36">
        <v>3.4</v>
      </c>
      <c r="AC36">
        <v>2.1</v>
      </c>
      <c r="AD36">
        <v>3.15</v>
      </c>
      <c r="AE36">
        <v>3.45</v>
      </c>
      <c r="AF36">
        <v>2.15</v>
      </c>
      <c r="AG36">
        <v>3.25</v>
      </c>
      <c r="AH36">
        <v>3.4</v>
      </c>
      <c r="AI36">
        <v>2.2599999999999998</v>
      </c>
      <c r="AJ36">
        <v>3.28</v>
      </c>
      <c r="AK36">
        <v>3.67</v>
      </c>
      <c r="AL36">
        <v>2.15</v>
      </c>
      <c r="AM36">
        <v>3.25</v>
      </c>
      <c r="AN36">
        <v>3.5</v>
      </c>
      <c r="AO36">
        <v>2.1</v>
      </c>
      <c r="AP36">
        <v>3.2</v>
      </c>
      <c r="AQ36">
        <v>3.4</v>
      </c>
      <c r="AR36">
        <v>2.25</v>
      </c>
      <c r="AS36">
        <v>3.25</v>
      </c>
      <c r="AT36">
        <v>3.6</v>
      </c>
      <c r="AU36">
        <v>36</v>
      </c>
      <c r="AV36">
        <v>2.2599999999999998</v>
      </c>
      <c r="AW36">
        <v>2.15</v>
      </c>
      <c r="AX36">
        <v>3.4</v>
      </c>
      <c r="AY36">
        <v>3.2</v>
      </c>
      <c r="AZ36">
        <v>3.75</v>
      </c>
      <c r="BA36">
        <v>3.46</v>
      </c>
      <c r="BB36">
        <v>34</v>
      </c>
      <c r="BC36">
        <v>2.2999999999999998</v>
      </c>
      <c r="BD36">
        <v>2.19</v>
      </c>
      <c r="BE36">
        <v>1.75</v>
      </c>
      <c r="BF36">
        <v>1.66</v>
      </c>
      <c r="BG36">
        <v>18</v>
      </c>
      <c r="BH36">
        <v>-0.5</v>
      </c>
      <c r="BI36">
        <v>2.2599999999999998</v>
      </c>
      <c r="BJ36">
        <v>2.1800000000000002</v>
      </c>
      <c r="BK36">
        <v>1.76</v>
      </c>
      <c r="BL36">
        <v>1.72</v>
      </c>
      <c r="BM36">
        <v>2.46</v>
      </c>
      <c r="BN36">
        <v>3.11</v>
      </c>
      <c r="BO36">
        <v>3.42</v>
      </c>
    </row>
    <row r="37" spans="1:67">
      <c r="A37" t="s">
        <v>63</v>
      </c>
      <c r="B37" s="77">
        <v>41539</v>
      </c>
      <c r="C37" t="s">
        <v>86</v>
      </c>
      <c r="D37" t="s">
        <v>81</v>
      </c>
      <c r="E37">
        <v>0</v>
      </c>
      <c r="F37">
        <v>0</v>
      </c>
      <c r="G37" t="s">
        <v>67</v>
      </c>
      <c r="H37">
        <v>0</v>
      </c>
      <c r="I37">
        <v>0</v>
      </c>
      <c r="J37" t="s">
        <v>67</v>
      </c>
      <c r="K37">
        <v>12</v>
      </c>
      <c r="L37">
        <v>12</v>
      </c>
      <c r="M37">
        <v>2</v>
      </c>
      <c r="N37">
        <v>3</v>
      </c>
      <c r="O37">
        <v>20</v>
      </c>
      <c r="P37">
        <v>27</v>
      </c>
      <c r="Q37">
        <v>8</v>
      </c>
      <c r="R37">
        <v>2</v>
      </c>
      <c r="S37">
        <v>0</v>
      </c>
      <c r="T37">
        <v>3</v>
      </c>
      <c r="U37">
        <v>0</v>
      </c>
      <c r="V37">
        <v>0</v>
      </c>
      <c r="W37">
        <v>2.0499999999999998</v>
      </c>
      <c r="X37">
        <v>3.25</v>
      </c>
      <c r="Y37">
        <v>3.75</v>
      </c>
      <c r="Z37">
        <v>2.0499999999999998</v>
      </c>
      <c r="AA37">
        <v>3.25</v>
      </c>
      <c r="AB37">
        <v>3.7</v>
      </c>
      <c r="AC37">
        <v>2.1</v>
      </c>
      <c r="AD37">
        <v>3.2</v>
      </c>
      <c r="AE37">
        <v>3.4</v>
      </c>
      <c r="AF37">
        <v>2.15</v>
      </c>
      <c r="AG37">
        <v>3.3</v>
      </c>
      <c r="AH37">
        <v>3.4</v>
      </c>
      <c r="AI37">
        <v>2.21</v>
      </c>
      <c r="AJ37">
        <v>3.35</v>
      </c>
      <c r="AK37">
        <v>3.71</v>
      </c>
      <c r="AL37">
        <v>2.15</v>
      </c>
      <c r="AM37">
        <v>3.3</v>
      </c>
      <c r="AN37">
        <v>3.4</v>
      </c>
      <c r="AO37">
        <v>2.1</v>
      </c>
      <c r="AP37">
        <v>3.25</v>
      </c>
      <c r="AQ37">
        <v>3.4</v>
      </c>
      <c r="AR37">
        <v>2.2000000000000002</v>
      </c>
      <c r="AS37">
        <v>3.3</v>
      </c>
      <c r="AT37">
        <v>3.6</v>
      </c>
      <c r="AU37">
        <v>36</v>
      </c>
      <c r="AV37">
        <v>2.21</v>
      </c>
      <c r="AW37">
        <v>2.12</v>
      </c>
      <c r="AX37">
        <v>3.35</v>
      </c>
      <c r="AY37">
        <v>3.25</v>
      </c>
      <c r="AZ37">
        <v>3.81</v>
      </c>
      <c r="BA37">
        <v>3.47</v>
      </c>
      <c r="BB37">
        <v>34</v>
      </c>
      <c r="BC37">
        <v>2.14</v>
      </c>
      <c r="BD37">
        <v>2.0499999999999998</v>
      </c>
      <c r="BE37">
        <v>1.87</v>
      </c>
      <c r="BF37">
        <v>1.76</v>
      </c>
      <c r="BG37">
        <v>18</v>
      </c>
      <c r="BH37">
        <v>-0.5</v>
      </c>
      <c r="BI37">
        <v>2.2200000000000002</v>
      </c>
      <c r="BJ37">
        <v>2.14</v>
      </c>
      <c r="BK37">
        <v>1.8</v>
      </c>
      <c r="BL37">
        <v>1.74</v>
      </c>
      <c r="BM37">
        <v>2.5</v>
      </c>
      <c r="BN37">
        <v>3.23</v>
      </c>
      <c r="BO37">
        <v>3.23</v>
      </c>
    </row>
    <row r="38" spans="1:67">
      <c r="A38" t="s">
        <v>63</v>
      </c>
      <c r="B38" s="77">
        <v>41539</v>
      </c>
      <c r="C38" t="s">
        <v>65</v>
      </c>
      <c r="D38" t="s">
        <v>68</v>
      </c>
      <c r="E38">
        <v>2</v>
      </c>
      <c r="F38">
        <v>1</v>
      </c>
      <c r="G38" t="s">
        <v>70</v>
      </c>
      <c r="H38">
        <v>2</v>
      </c>
      <c r="I38">
        <v>1</v>
      </c>
      <c r="J38" t="s">
        <v>70</v>
      </c>
      <c r="K38">
        <v>35</v>
      </c>
      <c r="L38">
        <v>4</v>
      </c>
      <c r="M38">
        <v>15</v>
      </c>
      <c r="N38">
        <v>1</v>
      </c>
      <c r="O38">
        <v>17</v>
      </c>
      <c r="P38">
        <v>11</v>
      </c>
      <c r="Q38">
        <v>5</v>
      </c>
      <c r="R38">
        <v>2</v>
      </c>
      <c r="S38">
        <v>4</v>
      </c>
      <c r="T38">
        <v>1</v>
      </c>
      <c r="U38">
        <v>0</v>
      </c>
      <c r="V38">
        <v>0</v>
      </c>
      <c r="W38">
        <v>1.17</v>
      </c>
      <c r="X38">
        <v>7</v>
      </c>
      <c r="Y38">
        <v>15</v>
      </c>
      <c r="Z38">
        <v>1.1499999999999999</v>
      </c>
      <c r="AA38">
        <v>7.25</v>
      </c>
      <c r="AB38">
        <v>16</v>
      </c>
      <c r="AC38">
        <v>1.1499999999999999</v>
      </c>
      <c r="AD38">
        <v>7</v>
      </c>
      <c r="AE38">
        <v>15</v>
      </c>
      <c r="AF38">
        <v>1.18</v>
      </c>
      <c r="AG38">
        <v>7</v>
      </c>
      <c r="AH38">
        <v>13</v>
      </c>
      <c r="AI38">
        <v>1.18</v>
      </c>
      <c r="AJ38">
        <v>8.1</v>
      </c>
      <c r="AK38">
        <v>21.45</v>
      </c>
      <c r="AL38">
        <v>1.1499999999999999</v>
      </c>
      <c r="AM38">
        <v>7.5</v>
      </c>
      <c r="AN38">
        <v>17</v>
      </c>
      <c r="AO38">
        <v>1.1399999999999999</v>
      </c>
      <c r="AP38">
        <v>7</v>
      </c>
      <c r="AQ38">
        <v>13</v>
      </c>
      <c r="AR38">
        <v>1.17</v>
      </c>
      <c r="AS38">
        <v>8</v>
      </c>
      <c r="AT38">
        <v>22</v>
      </c>
      <c r="AU38">
        <v>36</v>
      </c>
      <c r="AV38">
        <v>1.18</v>
      </c>
      <c r="AW38">
        <v>1.1599999999999999</v>
      </c>
      <c r="AX38">
        <v>8.1</v>
      </c>
      <c r="AY38">
        <v>7.11</v>
      </c>
      <c r="AZ38">
        <v>22.27</v>
      </c>
      <c r="BA38">
        <v>16.059999999999999</v>
      </c>
      <c r="BB38">
        <v>25</v>
      </c>
      <c r="BC38">
        <v>1.6</v>
      </c>
      <c r="BD38">
        <v>1.53</v>
      </c>
      <c r="BE38">
        <v>2.6</v>
      </c>
      <c r="BF38">
        <v>2.41</v>
      </c>
      <c r="BG38">
        <v>21</v>
      </c>
      <c r="BH38">
        <v>-2</v>
      </c>
      <c r="BI38">
        <v>1.98</v>
      </c>
      <c r="BJ38">
        <v>1.93</v>
      </c>
      <c r="BK38">
        <v>2.04</v>
      </c>
      <c r="BL38">
        <v>1.93</v>
      </c>
      <c r="BM38">
        <v>1.17</v>
      </c>
      <c r="BN38">
        <v>8.56</v>
      </c>
      <c r="BO38">
        <v>21.01</v>
      </c>
    </row>
    <row r="39" spans="1:67">
      <c r="A39" t="s">
        <v>63</v>
      </c>
      <c r="B39" s="77">
        <v>41539</v>
      </c>
      <c r="C39" t="s">
        <v>69</v>
      </c>
      <c r="D39" t="s">
        <v>79</v>
      </c>
      <c r="E39">
        <v>1</v>
      </c>
      <c r="F39">
        <v>2</v>
      </c>
      <c r="G39" t="s">
        <v>66</v>
      </c>
      <c r="H39">
        <v>0</v>
      </c>
      <c r="I39">
        <v>1</v>
      </c>
      <c r="J39" t="s">
        <v>66</v>
      </c>
      <c r="K39">
        <v>22</v>
      </c>
      <c r="L39">
        <v>9</v>
      </c>
      <c r="M39">
        <v>8</v>
      </c>
      <c r="N39">
        <v>3</v>
      </c>
      <c r="O39">
        <v>11</v>
      </c>
      <c r="P39">
        <v>9</v>
      </c>
      <c r="Q39">
        <v>8</v>
      </c>
      <c r="R39">
        <v>3</v>
      </c>
      <c r="S39">
        <v>3</v>
      </c>
      <c r="T39">
        <v>1</v>
      </c>
      <c r="U39">
        <v>1</v>
      </c>
      <c r="V39">
        <v>0</v>
      </c>
      <c r="W39">
        <v>2.5</v>
      </c>
      <c r="X39">
        <v>3.4</v>
      </c>
      <c r="Y39">
        <v>2.7</v>
      </c>
      <c r="Z39">
        <v>2.7</v>
      </c>
      <c r="AA39">
        <v>3.25</v>
      </c>
      <c r="AB39">
        <v>2.6</v>
      </c>
      <c r="AC39">
        <v>2.5</v>
      </c>
      <c r="AD39">
        <v>3.3</v>
      </c>
      <c r="AE39">
        <v>2.65</v>
      </c>
      <c r="AF39">
        <v>2.5</v>
      </c>
      <c r="AG39">
        <v>3.3</v>
      </c>
      <c r="AH39">
        <v>2.75</v>
      </c>
      <c r="AI39">
        <v>2.69</v>
      </c>
      <c r="AJ39">
        <v>3.44</v>
      </c>
      <c r="AK39">
        <v>2.8</v>
      </c>
      <c r="AL39">
        <v>2.6</v>
      </c>
      <c r="AM39">
        <v>3.3</v>
      </c>
      <c r="AN39">
        <v>2.7</v>
      </c>
      <c r="AO39">
        <v>2.6</v>
      </c>
      <c r="AP39">
        <v>3.2</v>
      </c>
      <c r="AQ39">
        <v>2.63</v>
      </c>
      <c r="AR39">
        <v>2.62</v>
      </c>
      <c r="AS39">
        <v>3.4</v>
      </c>
      <c r="AT39">
        <v>2.8</v>
      </c>
      <c r="AU39">
        <v>36</v>
      </c>
      <c r="AV39">
        <v>2.75</v>
      </c>
      <c r="AW39">
        <v>2.61</v>
      </c>
      <c r="AX39">
        <v>3.44</v>
      </c>
      <c r="AY39">
        <v>3.22</v>
      </c>
      <c r="AZ39">
        <v>2.8</v>
      </c>
      <c r="BA39">
        <v>2.66</v>
      </c>
      <c r="BB39">
        <v>31</v>
      </c>
      <c r="BC39">
        <v>2.02</v>
      </c>
      <c r="BD39">
        <v>1.92</v>
      </c>
      <c r="BE39">
        <v>2</v>
      </c>
      <c r="BF39">
        <v>1.87</v>
      </c>
      <c r="BG39">
        <v>16</v>
      </c>
      <c r="BH39">
        <v>-0.25</v>
      </c>
      <c r="BI39">
        <v>2.3199999999999998</v>
      </c>
      <c r="BJ39">
        <v>2.23</v>
      </c>
      <c r="BK39">
        <v>1.72</v>
      </c>
      <c r="BL39">
        <v>1.68</v>
      </c>
      <c r="BM39">
        <v>2.48</v>
      </c>
      <c r="BN39">
        <v>3.19</v>
      </c>
      <c r="BO39">
        <v>3.3</v>
      </c>
    </row>
    <row r="40" spans="1:67">
      <c r="A40" t="s">
        <v>63</v>
      </c>
      <c r="B40" s="77">
        <v>41539</v>
      </c>
      <c r="C40" t="s">
        <v>78</v>
      </c>
      <c r="D40" t="s">
        <v>75</v>
      </c>
      <c r="E40">
        <v>2</v>
      </c>
      <c r="F40">
        <v>0</v>
      </c>
      <c r="G40" t="s">
        <v>70</v>
      </c>
      <c r="H40">
        <v>0</v>
      </c>
      <c r="I40">
        <v>0</v>
      </c>
      <c r="J40" t="s">
        <v>67</v>
      </c>
      <c r="K40">
        <v>18</v>
      </c>
      <c r="L40">
        <v>8</v>
      </c>
      <c r="M40">
        <v>5</v>
      </c>
      <c r="N40">
        <v>0</v>
      </c>
      <c r="O40">
        <v>14</v>
      </c>
      <c r="P40">
        <v>16</v>
      </c>
      <c r="Q40">
        <v>8</v>
      </c>
      <c r="R40">
        <v>3</v>
      </c>
      <c r="S40">
        <v>4</v>
      </c>
      <c r="T40">
        <v>3</v>
      </c>
      <c r="U40">
        <v>0</v>
      </c>
      <c r="V40">
        <v>1</v>
      </c>
      <c r="W40">
        <v>2.1</v>
      </c>
      <c r="X40">
        <v>3.4</v>
      </c>
      <c r="Y40">
        <v>3.4</v>
      </c>
      <c r="Z40">
        <v>2.15</v>
      </c>
      <c r="AA40">
        <v>3.3</v>
      </c>
      <c r="AB40">
        <v>3.4</v>
      </c>
      <c r="AC40">
        <v>2.2000000000000002</v>
      </c>
      <c r="AD40">
        <v>3.2</v>
      </c>
      <c r="AE40">
        <v>3.2</v>
      </c>
      <c r="AF40">
        <v>2.1</v>
      </c>
      <c r="AG40">
        <v>3.4</v>
      </c>
      <c r="AH40">
        <v>3.4</v>
      </c>
      <c r="AI40">
        <v>2.12</v>
      </c>
      <c r="AJ40">
        <v>3.42</v>
      </c>
      <c r="AK40">
        <v>3.91</v>
      </c>
      <c r="AL40">
        <v>2.15</v>
      </c>
      <c r="AM40">
        <v>3.5</v>
      </c>
      <c r="AN40">
        <v>3.25</v>
      </c>
      <c r="AO40">
        <v>2.1</v>
      </c>
      <c r="AP40">
        <v>3.3</v>
      </c>
      <c r="AQ40">
        <v>3.4</v>
      </c>
      <c r="AR40">
        <v>2.15</v>
      </c>
      <c r="AS40">
        <v>3.5</v>
      </c>
      <c r="AT40">
        <v>3.6</v>
      </c>
      <c r="AU40">
        <v>36</v>
      </c>
      <c r="AV40">
        <v>2.2000000000000002</v>
      </c>
      <c r="AW40">
        <v>2.11</v>
      </c>
      <c r="AX40">
        <v>3.45</v>
      </c>
      <c r="AY40">
        <v>3.32</v>
      </c>
      <c r="AZ40">
        <v>3.91</v>
      </c>
      <c r="BA40">
        <v>3.42</v>
      </c>
      <c r="BB40">
        <v>32</v>
      </c>
      <c r="BC40">
        <v>1.92</v>
      </c>
      <c r="BD40">
        <v>1.83</v>
      </c>
      <c r="BE40">
        <v>2.08</v>
      </c>
      <c r="BF40">
        <v>1.96</v>
      </c>
      <c r="BG40">
        <v>16</v>
      </c>
      <c r="BH40">
        <v>-0.25</v>
      </c>
      <c r="BI40">
        <v>1.84</v>
      </c>
      <c r="BJ40">
        <v>1.81</v>
      </c>
      <c r="BK40">
        <v>2.14</v>
      </c>
      <c r="BL40">
        <v>2.0699999999999998</v>
      </c>
      <c r="BM40">
        <v>2.1</v>
      </c>
      <c r="BN40">
        <v>3.36</v>
      </c>
      <c r="BO40">
        <v>4.08</v>
      </c>
    </row>
    <row r="41" spans="1:67">
      <c r="A41" t="s">
        <v>63</v>
      </c>
      <c r="B41" s="77">
        <v>41539</v>
      </c>
      <c r="C41" t="s">
        <v>84</v>
      </c>
      <c r="D41" t="s">
        <v>73</v>
      </c>
      <c r="E41">
        <v>0</v>
      </c>
      <c r="F41">
        <v>7</v>
      </c>
      <c r="G41" t="s">
        <v>66</v>
      </c>
      <c r="H41">
        <v>0</v>
      </c>
      <c r="I41">
        <v>3</v>
      </c>
      <c r="J41" t="s">
        <v>66</v>
      </c>
      <c r="K41">
        <v>7</v>
      </c>
      <c r="L41">
        <v>23</v>
      </c>
      <c r="M41">
        <v>4</v>
      </c>
      <c r="N41">
        <v>11</v>
      </c>
      <c r="O41">
        <v>8</v>
      </c>
      <c r="P41">
        <v>13</v>
      </c>
      <c r="Q41">
        <v>2</v>
      </c>
      <c r="R41">
        <v>7</v>
      </c>
      <c r="S41">
        <v>3</v>
      </c>
      <c r="T41">
        <v>1</v>
      </c>
      <c r="U41">
        <v>0</v>
      </c>
      <c r="V41">
        <v>0</v>
      </c>
      <c r="W41">
        <v>4.5</v>
      </c>
      <c r="X41">
        <v>3.75</v>
      </c>
      <c r="Y41">
        <v>1.75</v>
      </c>
      <c r="Z41">
        <v>4.75</v>
      </c>
      <c r="AA41">
        <v>3.6</v>
      </c>
      <c r="AB41">
        <v>1.72</v>
      </c>
      <c r="AC41">
        <v>4.2</v>
      </c>
      <c r="AD41">
        <v>3.5</v>
      </c>
      <c r="AE41">
        <v>1.8</v>
      </c>
      <c r="AF41">
        <v>4.8</v>
      </c>
      <c r="AG41">
        <v>3.6</v>
      </c>
      <c r="AH41">
        <v>1.72</v>
      </c>
      <c r="AI41">
        <v>4.9800000000000004</v>
      </c>
      <c r="AJ41">
        <v>3.62</v>
      </c>
      <c r="AK41">
        <v>1.84</v>
      </c>
      <c r="AL41">
        <v>4.4000000000000004</v>
      </c>
      <c r="AM41">
        <v>3.6</v>
      </c>
      <c r="AN41">
        <v>1.8</v>
      </c>
      <c r="AO41">
        <v>4.33</v>
      </c>
      <c r="AP41">
        <v>3.5</v>
      </c>
      <c r="AQ41">
        <v>1.8</v>
      </c>
      <c r="AR41">
        <v>4.5999999999999996</v>
      </c>
      <c r="AS41">
        <v>3.75</v>
      </c>
      <c r="AT41">
        <v>1.85</v>
      </c>
      <c r="AU41">
        <v>36</v>
      </c>
      <c r="AV41">
        <v>5</v>
      </c>
      <c r="AW41">
        <v>4.4400000000000004</v>
      </c>
      <c r="AX41">
        <v>3.8</v>
      </c>
      <c r="AY41">
        <v>3.54</v>
      </c>
      <c r="AZ41">
        <v>1.86</v>
      </c>
      <c r="BA41">
        <v>1.8</v>
      </c>
      <c r="BB41">
        <v>34</v>
      </c>
      <c r="BC41">
        <v>2</v>
      </c>
      <c r="BD41">
        <v>1.93</v>
      </c>
      <c r="BE41">
        <v>2</v>
      </c>
      <c r="BF41">
        <v>1.86</v>
      </c>
      <c r="BG41">
        <v>18</v>
      </c>
      <c r="BH41">
        <v>0.75</v>
      </c>
      <c r="BI41">
        <v>1.84</v>
      </c>
      <c r="BJ41">
        <v>1.79</v>
      </c>
      <c r="BK41">
        <v>2.17</v>
      </c>
      <c r="BL41">
        <v>2.08</v>
      </c>
      <c r="BM41">
        <v>4.07</v>
      </c>
      <c r="BN41">
        <v>3.43</v>
      </c>
      <c r="BO41">
        <v>1.87</v>
      </c>
    </row>
    <row r="42" spans="1:67">
      <c r="A42" t="s">
        <v>63</v>
      </c>
      <c r="B42" s="77">
        <v>41541</v>
      </c>
      <c r="C42" t="s">
        <v>76</v>
      </c>
      <c r="D42" t="s">
        <v>74</v>
      </c>
      <c r="E42">
        <v>1</v>
      </c>
      <c r="F42">
        <v>0</v>
      </c>
      <c r="G42" t="s">
        <v>70</v>
      </c>
      <c r="H42">
        <v>0</v>
      </c>
      <c r="I42">
        <v>0</v>
      </c>
      <c r="J42" t="s">
        <v>67</v>
      </c>
      <c r="K42">
        <v>14</v>
      </c>
      <c r="L42">
        <v>7</v>
      </c>
      <c r="M42">
        <v>3</v>
      </c>
      <c r="N42">
        <v>1</v>
      </c>
      <c r="O42">
        <v>10</v>
      </c>
      <c r="P42">
        <v>16</v>
      </c>
      <c r="Q42">
        <v>10</v>
      </c>
      <c r="R42">
        <v>2</v>
      </c>
      <c r="S42">
        <v>1</v>
      </c>
      <c r="T42">
        <v>3</v>
      </c>
      <c r="U42">
        <v>0</v>
      </c>
      <c r="V42">
        <v>0</v>
      </c>
      <c r="W42">
        <v>1.83</v>
      </c>
      <c r="X42">
        <v>3.4</v>
      </c>
      <c r="Y42">
        <v>4.5</v>
      </c>
      <c r="Z42">
        <v>1.75</v>
      </c>
      <c r="AA42">
        <v>3.5</v>
      </c>
      <c r="AB42">
        <v>4.5999999999999996</v>
      </c>
      <c r="AC42">
        <v>1.8</v>
      </c>
      <c r="AD42">
        <v>3.5</v>
      </c>
      <c r="AE42">
        <v>4.2</v>
      </c>
      <c r="AF42">
        <v>1.85</v>
      </c>
      <c r="AG42">
        <v>3.4</v>
      </c>
      <c r="AH42">
        <v>4.33</v>
      </c>
      <c r="AI42">
        <v>1.91</v>
      </c>
      <c r="AJ42">
        <v>3.56</v>
      </c>
      <c r="AK42">
        <v>4.63</v>
      </c>
      <c r="AL42">
        <v>1.91</v>
      </c>
      <c r="AM42">
        <v>3.3</v>
      </c>
      <c r="AN42">
        <v>3.8</v>
      </c>
      <c r="AO42">
        <v>1.83</v>
      </c>
      <c r="AP42">
        <v>3.4</v>
      </c>
      <c r="AQ42">
        <v>4.33</v>
      </c>
      <c r="AR42">
        <v>1.91</v>
      </c>
      <c r="AS42">
        <v>3.5</v>
      </c>
      <c r="AT42">
        <v>4.4000000000000004</v>
      </c>
      <c r="AU42">
        <v>34</v>
      </c>
      <c r="AV42">
        <v>1.93</v>
      </c>
      <c r="AW42">
        <v>1.85</v>
      </c>
      <c r="AX42">
        <v>3.6</v>
      </c>
      <c r="AY42">
        <v>3.45</v>
      </c>
      <c r="AZ42">
        <v>5</v>
      </c>
      <c r="BA42">
        <v>4.3899999999999997</v>
      </c>
      <c r="BB42">
        <v>32</v>
      </c>
      <c r="BC42">
        <v>2.1</v>
      </c>
      <c r="BD42">
        <v>2.02</v>
      </c>
      <c r="BE42">
        <v>1.85</v>
      </c>
      <c r="BF42">
        <v>1.79</v>
      </c>
      <c r="BG42">
        <v>18</v>
      </c>
      <c r="BH42">
        <v>-0.5</v>
      </c>
      <c r="BI42">
        <v>1.94</v>
      </c>
      <c r="BJ42">
        <v>1.89</v>
      </c>
      <c r="BK42">
        <v>2.02</v>
      </c>
      <c r="BL42">
        <v>1.97</v>
      </c>
      <c r="BM42">
        <v>1.74</v>
      </c>
      <c r="BN42">
        <v>3.58</v>
      </c>
      <c r="BO42">
        <v>5.98</v>
      </c>
    </row>
    <row r="43" spans="1:67">
      <c r="A43" t="s">
        <v>63</v>
      </c>
      <c r="B43" s="77">
        <v>41542</v>
      </c>
      <c r="C43" t="s">
        <v>80</v>
      </c>
      <c r="D43" t="s">
        <v>69</v>
      </c>
      <c r="E43">
        <v>3</v>
      </c>
      <c r="F43">
        <v>3</v>
      </c>
      <c r="G43" t="s">
        <v>67</v>
      </c>
      <c r="H43">
        <v>1</v>
      </c>
      <c r="I43">
        <v>1</v>
      </c>
      <c r="J43" t="s">
        <v>67</v>
      </c>
      <c r="K43">
        <v>15</v>
      </c>
      <c r="L43">
        <v>16</v>
      </c>
      <c r="M43">
        <v>6</v>
      </c>
      <c r="N43">
        <v>8</v>
      </c>
      <c r="O43">
        <v>22</v>
      </c>
      <c r="P43">
        <v>13</v>
      </c>
      <c r="Q43">
        <v>5</v>
      </c>
      <c r="R43">
        <v>9</v>
      </c>
      <c r="S43">
        <v>4</v>
      </c>
      <c r="T43">
        <v>2</v>
      </c>
      <c r="U43">
        <v>0</v>
      </c>
      <c r="V43">
        <v>0</v>
      </c>
      <c r="W43">
        <v>3.4</v>
      </c>
      <c r="X43">
        <v>3.4</v>
      </c>
      <c r="Y43">
        <v>2.1</v>
      </c>
      <c r="Z43">
        <v>3.6</v>
      </c>
      <c r="AA43">
        <v>3.3</v>
      </c>
      <c r="AB43">
        <v>2.0499999999999998</v>
      </c>
      <c r="AC43">
        <v>3.3</v>
      </c>
      <c r="AD43">
        <v>3.3</v>
      </c>
      <c r="AE43">
        <v>2.1</v>
      </c>
      <c r="AF43">
        <v>3.25</v>
      </c>
      <c r="AG43">
        <v>3.3</v>
      </c>
      <c r="AH43">
        <v>2.2000000000000002</v>
      </c>
      <c r="AI43">
        <v>3.93</v>
      </c>
      <c r="AJ43">
        <v>3.35</v>
      </c>
      <c r="AK43">
        <v>2.14</v>
      </c>
      <c r="AL43">
        <v>3.6</v>
      </c>
      <c r="AM43">
        <v>3.2</v>
      </c>
      <c r="AN43">
        <v>2.15</v>
      </c>
      <c r="AO43">
        <v>3.4</v>
      </c>
      <c r="AP43">
        <v>3.25</v>
      </c>
      <c r="AQ43">
        <v>2.1</v>
      </c>
      <c r="AR43">
        <v>3.75</v>
      </c>
      <c r="AS43">
        <v>3.4</v>
      </c>
      <c r="AT43">
        <v>2.15</v>
      </c>
      <c r="AU43">
        <v>34</v>
      </c>
      <c r="AV43">
        <v>3.93</v>
      </c>
      <c r="AW43">
        <v>3.5</v>
      </c>
      <c r="AX43">
        <v>3.4</v>
      </c>
      <c r="AY43">
        <v>3.27</v>
      </c>
      <c r="AZ43">
        <v>2.25</v>
      </c>
      <c r="BA43">
        <v>2.13</v>
      </c>
      <c r="BB43">
        <v>32</v>
      </c>
      <c r="BC43">
        <v>2.1800000000000002</v>
      </c>
      <c r="BD43">
        <v>2.0499999999999998</v>
      </c>
      <c r="BE43">
        <v>1.87</v>
      </c>
      <c r="BF43">
        <v>1.75</v>
      </c>
      <c r="BG43">
        <v>17</v>
      </c>
      <c r="BH43">
        <v>0</v>
      </c>
      <c r="BI43">
        <v>2.75</v>
      </c>
      <c r="BJ43">
        <v>2.59</v>
      </c>
      <c r="BK43">
        <v>1.55</v>
      </c>
      <c r="BL43">
        <v>1.51</v>
      </c>
      <c r="BM43">
        <v>4.12</v>
      </c>
      <c r="BN43">
        <v>3.32</v>
      </c>
      <c r="BO43">
        <v>2.1</v>
      </c>
    </row>
    <row r="44" spans="1:67">
      <c r="A44" t="s">
        <v>63</v>
      </c>
      <c r="B44" s="77">
        <v>41542</v>
      </c>
      <c r="C44" t="s">
        <v>82</v>
      </c>
      <c r="D44" t="s">
        <v>65</v>
      </c>
      <c r="E44">
        <v>1</v>
      </c>
      <c r="F44">
        <v>2</v>
      </c>
      <c r="G44" t="s">
        <v>66</v>
      </c>
      <c r="H44">
        <v>1</v>
      </c>
      <c r="I44">
        <v>0</v>
      </c>
      <c r="J44" t="s">
        <v>70</v>
      </c>
      <c r="K44">
        <v>5</v>
      </c>
      <c r="L44">
        <v>18</v>
      </c>
      <c r="M44">
        <v>3</v>
      </c>
      <c r="N44">
        <v>8</v>
      </c>
      <c r="O44">
        <v>14</v>
      </c>
      <c r="P44">
        <v>16</v>
      </c>
      <c r="Q44">
        <v>2</v>
      </c>
      <c r="R44">
        <v>4</v>
      </c>
      <c r="S44">
        <v>3</v>
      </c>
      <c r="T44">
        <v>0</v>
      </c>
      <c r="U44">
        <v>0</v>
      </c>
      <c r="V44">
        <v>0</v>
      </c>
      <c r="W44">
        <v>7.5</v>
      </c>
      <c r="X44">
        <v>4.2</v>
      </c>
      <c r="Y44">
        <v>1.44</v>
      </c>
      <c r="Z44">
        <v>8</v>
      </c>
      <c r="AA44">
        <v>4.3499999999999996</v>
      </c>
      <c r="AB44">
        <v>1.4</v>
      </c>
      <c r="AC44">
        <v>7</v>
      </c>
      <c r="AD44">
        <v>4</v>
      </c>
      <c r="AE44">
        <v>1.45</v>
      </c>
      <c r="AF44">
        <v>6.5</v>
      </c>
      <c r="AG44">
        <v>4.2</v>
      </c>
      <c r="AH44">
        <v>1.5</v>
      </c>
      <c r="AI44">
        <v>8.9499999999999993</v>
      </c>
      <c r="AJ44">
        <v>4.51</v>
      </c>
      <c r="AK44">
        <v>1.45</v>
      </c>
      <c r="AL44">
        <v>7</v>
      </c>
      <c r="AM44">
        <v>4</v>
      </c>
      <c r="AN44">
        <v>1.5</v>
      </c>
      <c r="AO44">
        <v>7</v>
      </c>
      <c r="AP44">
        <v>4</v>
      </c>
      <c r="AQ44">
        <v>1.44</v>
      </c>
      <c r="AR44">
        <v>7.5</v>
      </c>
      <c r="AS44">
        <v>4.5</v>
      </c>
      <c r="AT44">
        <v>1.5</v>
      </c>
      <c r="AU44">
        <v>34</v>
      </c>
      <c r="AV44">
        <v>8.9499999999999993</v>
      </c>
      <c r="AW44">
        <v>7.15</v>
      </c>
      <c r="AX44">
        <v>4.5999999999999996</v>
      </c>
      <c r="AY44">
        <v>4.24</v>
      </c>
      <c r="AZ44">
        <v>1.5</v>
      </c>
      <c r="BA44">
        <v>1.46</v>
      </c>
      <c r="BB44">
        <v>32</v>
      </c>
      <c r="BC44">
        <v>1.92</v>
      </c>
      <c r="BD44">
        <v>1.83</v>
      </c>
      <c r="BE44">
        <v>2.08</v>
      </c>
      <c r="BF44">
        <v>1.96</v>
      </c>
      <c r="BG44">
        <v>20</v>
      </c>
      <c r="BH44">
        <v>1</v>
      </c>
      <c r="BI44">
        <v>2.2200000000000002</v>
      </c>
      <c r="BJ44">
        <v>2.09</v>
      </c>
      <c r="BK44">
        <v>1.83</v>
      </c>
      <c r="BL44">
        <v>1.79</v>
      </c>
      <c r="BM44">
        <v>7.67</v>
      </c>
      <c r="BN44">
        <v>4.68</v>
      </c>
      <c r="BO44">
        <v>1.48</v>
      </c>
    </row>
    <row r="45" spans="1:67">
      <c r="A45" t="s">
        <v>63</v>
      </c>
      <c r="B45" s="77">
        <v>41542</v>
      </c>
      <c r="C45" t="s">
        <v>75</v>
      </c>
      <c r="D45" t="s">
        <v>86</v>
      </c>
      <c r="E45">
        <v>3</v>
      </c>
      <c r="F45">
        <v>1</v>
      </c>
      <c r="G45" t="s">
        <v>70</v>
      </c>
      <c r="H45">
        <v>2</v>
      </c>
      <c r="I45">
        <v>1</v>
      </c>
      <c r="J45" t="s">
        <v>70</v>
      </c>
      <c r="K45">
        <v>29</v>
      </c>
      <c r="L45">
        <v>10</v>
      </c>
      <c r="M45">
        <v>13</v>
      </c>
      <c r="N45">
        <v>1</v>
      </c>
      <c r="O45">
        <v>13</v>
      </c>
      <c r="P45">
        <v>12</v>
      </c>
      <c r="Q45">
        <v>8</v>
      </c>
      <c r="R45">
        <v>3</v>
      </c>
      <c r="S45">
        <v>2</v>
      </c>
      <c r="T45">
        <v>2</v>
      </c>
      <c r="U45">
        <v>0</v>
      </c>
      <c r="V45">
        <v>1</v>
      </c>
      <c r="W45">
        <v>1.57</v>
      </c>
      <c r="X45">
        <v>3.75</v>
      </c>
      <c r="Y45">
        <v>6</v>
      </c>
      <c r="Z45">
        <v>1.6</v>
      </c>
      <c r="AA45">
        <v>3.7</v>
      </c>
      <c r="AB45">
        <v>5.75</v>
      </c>
      <c r="AC45">
        <v>1.65</v>
      </c>
      <c r="AD45">
        <v>3.6</v>
      </c>
      <c r="AE45">
        <v>5.0999999999999996</v>
      </c>
      <c r="AF45">
        <v>1.6</v>
      </c>
      <c r="AG45">
        <v>3.75</v>
      </c>
      <c r="AH45">
        <v>6</v>
      </c>
      <c r="AI45">
        <v>1.59</v>
      </c>
      <c r="AJ45">
        <v>4.1399999999999997</v>
      </c>
      <c r="AK45">
        <v>6.72</v>
      </c>
      <c r="AL45">
        <v>1.6</v>
      </c>
      <c r="AM45">
        <v>3.75</v>
      </c>
      <c r="AN45">
        <v>6</v>
      </c>
      <c r="AO45">
        <v>1.57</v>
      </c>
      <c r="AP45">
        <v>3.6</v>
      </c>
      <c r="AQ45">
        <v>6</v>
      </c>
      <c r="AR45">
        <v>1.6</v>
      </c>
      <c r="AS45">
        <v>4.0999999999999996</v>
      </c>
      <c r="AT45">
        <v>6.5</v>
      </c>
      <c r="AU45">
        <v>34</v>
      </c>
      <c r="AV45">
        <v>1.67</v>
      </c>
      <c r="AW45">
        <v>1.59</v>
      </c>
      <c r="AX45">
        <v>4.1399999999999997</v>
      </c>
      <c r="AY45">
        <v>3.78</v>
      </c>
      <c r="AZ45">
        <v>6.72</v>
      </c>
      <c r="BA45">
        <v>5.97</v>
      </c>
      <c r="BB45">
        <v>32</v>
      </c>
      <c r="BC45">
        <v>2.02</v>
      </c>
      <c r="BD45">
        <v>1.92</v>
      </c>
      <c r="BE45">
        <v>1.97</v>
      </c>
      <c r="BF45">
        <v>1.87</v>
      </c>
      <c r="BG45">
        <v>20</v>
      </c>
      <c r="BH45">
        <v>-1</v>
      </c>
      <c r="BI45">
        <v>2.1</v>
      </c>
      <c r="BJ45">
        <v>2.02</v>
      </c>
      <c r="BK45">
        <v>1.9</v>
      </c>
      <c r="BL45">
        <v>1.84</v>
      </c>
      <c r="BM45">
        <v>1.6</v>
      </c>
      <c r="BN45">
        <v>4.03</v>
      </c>
      <c r="BO45">
        <v>6.87</v>
      </c>
    </row>
    <row r="46" spans="1:67">
      <c r="A46" t="s">
        <v>63</v>
      </c>
      <c r="B46" s="77">
        <v>41542</v>
      </c>
      <c r="C46" t="s">
        <v>77</v>
      </c>
      <c r="D46" t="s">
        <v>71</v>
      </c>
      <c r="E46">
        <v>1</v>
      </c>
      <c r="F46">
        <v>1</v>
      </c>
      <c r="G46" t="s">
        <v>67</v>
      </c>
      <c r="H46">
        <v>1</v>
      </c>
      <c r="I46">
        <v>0</v>
      </c>
      <c r="J46" t="s">
        <v>70</v>
      </c>
      <c r="K46">
        <v>10</v>
      </c>
      <c r="L46">
        <v>20</v>
      </c>
      <c r="M46">
        <v>3</v>
      </c>
      <c r="N46">
        <v>5</v>
      </c>
      <c r="O46">
        <v>8</v>
      </c>
      <c r="P46">
        <v>15</v>
      </c>
      <c r="Q46">
        <v>6</v>
      </c>
      <c r="R46">
        <v>5</v>
      </c>
      <c r="S46">
        <v>2</v>
      </c>
      <c r="T46">
        <v>4</v>
      </c>
      <c r="U46">
        <v>0</v>
      </c>
      <c r="V46">
        <v>0</v>
      </c>
      <c r="W46">
        <v>2.75</v>
      </c>
      <c r="X46">
        <v>3.1</v>
      </c>
      <c r="Y46">
        <v>2.63</v>
      </c>
      <c r="Z46">
        <v>2.5</v>
      </c>
      <c r="AA46">
        <v>3.2</v>
      </c>
      <c r="AB46">
        <v>2.8</v>
      </c>
      <c r="AC46">
        <v>2.4</v>
      </c>
      <c r="AD46">
        <v>3.3</v>
      </c>
      <c r="AE46">
        <v>2.75</v>
      </c>
      <c r="AF46">
        <v>2.4</v>
      </c>
      <c r="AG46">
        <v>3.2</v>
      </c>
      <c r="AH46">
        <v>2.88</v>
      </c>
      <c r="AI46">
        <v>2.8</v>
      </c>
      <c r="AJ46">
        <v>3.27</v>
      </c>
      <c r="AK46">
        <v>2.8</v>
      </c>
      <c r="AL46">
        <v>2.62</v>
      </c>
      <c r="AM46">
        <v>3.1</v>
      </c>
      <c r="AN46">
        <v>2.6</v>
      </c>
      <c r="AO46">
        <v>2.6</v>
      </c>
      <c r="AP46">
        <v>3.13</v>
      </c>
      <c r="AQ46">
        <v>2.63</v>
      </c>
      <c r="AR46">
        <v>2.8</v>
      </c>
      <c r="AS46">
        <v>3.25</v>
      </c>
      <c r="AT46">
        <v>2.75</v>
      </c>
      <c r="AU46">
        <v>34</v>
      </c>
      <c r="AV46">
        <v>2.8</v>
      </c>
      <c r="AW46">
        <v>2.66</v>
      </c>
      <c r="AX46">
        <v>3.3</v>
      </c>
      <c r="AY46">
        <v>3.15</v>
      </c>
      <c r="AZ46">
        <v>2.88</v>
      </c>
      <c r="BA46">
        <v>2.71</v>
      </c>
      <c r="BB46">
        <v>32</v>
      </c>
      <c r="BC46">
        <v>2.2200000000000002</v>
      </c>
      <c r="BD46">
        <v>2.12</v>
      </c>
      <c r="BE46">
        <v>1.8</v>
      </c>
      <c r="BF46">
        <v>1.71</v>
      </c>
      <c r="BG46">
        <v>18</v>
      </c>
      <c r="BH46">
        <v>0</v>
      </c>
      <c r="BI46">
        <v>1.99</v>
      </c>
      <c r="BJ46">
        <v>1.92</v>
      </c>
      <c r="BK46">
        <v>2.0499999999999998</v>
      </c>
      <c r="BL46">
        <v>1.92</v>
      </c>
      <c r="BM46">
        <v>3.12</v>
      </c>
      <c r="BN46">
        <v>3.24</v>
      </c>
      <c r="BO46">
        <v>2.56</v>
      </c>
    </row>
    <row r="47" spans="1:67">
      <c r="A47" t="s">
        <v>63</v>
      </c>
      <c r="B47" s="77">
        <v>41542</v>
      </c>
      <c r="C47" t="s">
        <v>79</v>
      </c>
      <c r="D47" t="s">
        <v>84</v>
      </c>
      <c r="E47">
        <v>1</v>
      </c>
      <c r="F47">
        <v>1</v>
      </c>
      <c r="G47" t="s">
        <v>67</v>
      </c>
      <c r="H47">
        <v>1</v>
      </c>
      <c r="I47">
        <v>1</v>
      </c>
      <c r="J47" t="s">
        <v>67</v>
      </c>
      <c r="K47">
        <v>19</v>
      </c>
      <c r="L47">
        <v>17</v>
      </c>
      <c r="M47">
        <v>8</v>
      </c>
      <c r="N47">
        <v>6</v>
      </c>
      <c r="O47">
        <v>11</v>
      </c>
      <c r="P47">
        <v>18</v>
      </c>
      <c r="Q47">
        <v>8</v>
      </c>
      <c r="R47">
        <v>6</v>
      </c>
      <c r="S47">
        <v>2</v>
      </c>
      <c r="T47">
        <v>2</v>
      </c>
      <c r="U47">
        <v>0</v>
      </c>
      <c r="V47">
        <v>0</v>
      </c>
      <c r="W47">
        <v>1.17</v>
      </c>
      <c r="X47">
        <v>7</v>
      </c>
      <c r="Y47">
        <v>15</v>
      </c>
      <c r="Z47">
        <v>1.1100000000000001</v>
      </c>
      <c r="AA47">
        <v>8</v>
      </c>
      <c r="AB47">
        <v>21</v>
      </c>
      <c r="AC47">
        <v>1.1499999999999999</v>
      </c>
      <c r="AD47">
        <v>7</v>
      </c>
      <c r="AE47">
        <v>15</v>
      </c>
      <c r="AF47">
        <v>1.1499999999999999</v>
      </c>
      <c r="AG47">
        <v>7.5</v>
      </c>
      <c r="AH47">
        <v>17</v>
      </c>
      <c r="AI47">
        <v>1.1499999999999999</v>
      </c>
      <c r="AJ47">
        <v>9.2100000000000009</v>
      </c>
      <c r="AK47">
        <v>23.84</v>
      </c>
      <c r="AL47">
        <v>1.17</v>
      </c>
      <c r="AM47">
        <v>6.5</v>
      </c>
      <c r="AN47">
        <v>17</v>
      </c>
      <c r="AO47">
        <v>1.1399999999999999</v>
      </c>
      <c r="AP47">
        <v>7</v>
      </c>
      <c r="AQ47">
        <v>15</v>
      </c>
      <c r="AR47">
        <v>1.1399999999999999</v>
      </c>
      <c r="AS47">
        <v>9</v>
      </c>
      <c r="AT47">
        <v>23</v>
      </c>
      <c r="AU47">
        <v>34</v>
      </c>
      <c r="AV47">
        <v>1.17</v>
      </c>
      <c r="AW47">
        <v>1.1499999999999999</v>
      </c>
      <c r="AX47">
        <v>9.2100000000000009</v>
      </c>
      <c r="AY47">
        <v>7.63</v>
      </c>
      <c r="AZ47">
        <v>29</v>
      </c>
      <c r="BA47">
        <v>17.63</v>
      </c>
      <c r="BB47">
        <v>23</v>
      </c>
      <c r="BC47">
        <v>1.54</v>
      </c>
      <c r="BD47">
        <v>1.45</v>
      </c>
      <c r="BE47">
        <v>2.88</v>
      </c>
      <c r="BF47">
        <v>2.6</v>
      </c>
      <c r="BG47">
        <v>19</v>
      </c>
      <c r="BH47">
        <v>-2</v>
      </c>
      <c r="BI47">
        <v>1.83</v>
      </c>
      <c r="BJ47">
        <v>1.78</v>
      </c>
      <c r="BK47">
        <v>2.2400000000000002</v>
      </c>
      <c r="BL47">
        <v>2.1</v>
      </c>
      <c r="BM47">
        <v>1.1499999999999999</v>
      </c>
      <c r="BN47">
        <v>9.5</v>
      </c>
      <c r="BO47">
        <v>22</v>
      </c>
    </row>
    <row r="48" spans="1:67">
      <c r="A48" t="s">
        <v>63</v>
      </c>
      <c r="B48" s="77">
        <v>41542</v>
      </c>
      <c r="C48" t="s">
        <v>81</v>
      </c>
      <c r="D48" t="s">
        <v>72</v>
      </c>
      <c r="E48">
        <v>4</v>
      </c>
      <c r="F48">
        <v>3</v>
      </c>
      <c r="G48" t="s">
        <v>70</v>
      </c>
      <c r="H48">
        <v>4</v>
      </c>
      <c r="I48">
        <v>2</v>
      </c>
      <c r="J48" t="s">
        <v>70</v>
      </c>
      <c r="K48">
        <v>14</v>
      </c>
      <c r="L48">
        <v>12</v>
      </c>
      <c r="M48">
        <v>6</v>
      </c>
      <c r="N48">
        <v>4</v>
      </c>
      <c r="O48">
        <v>18</v>
      </c>
      <c r="P48">
        <v>23</v>
      </c>
      <c r="Q48">
        <v>3</v>
      </c>
      <c r="R48">
        <v>4</v>
      </c>
      <c r="S48">
        <v>3</v>
      </c>
      <c r="T48">
        <v>4</v>
      </c>
      <c r="U48">
        <v>1</v>
      </c>
      <c r="V48">
        <v>0</v>
      </c>
      <c r="W48">
        <v>1.91</v>
      </c>
      <c r="X48">
        <v>3.3</v>
      </c>
      <c r="Y48">
        <v>4.2</v>
      </c>
      <c r="Z48">
        <v>1.82</v>
      </c>
      <c r="AA48">
        <v>3.35</v>
      </c>
      <c r="AB48">
        <v>4.5</v>
      </c>
      <c r="AC48">
        <v>1.95</v>
      </c>
      <c r="AD48">
        <v>3.35</v>
      </c>
      <c r="AE48">
        <v>3.7</v>
      </c>
      <c r="AF48">
        <v>1.91</v>
      </c>
      <c r="AG48">
        <v>3.4</v>
      </c>
      <c r="AH48">
        <v>4</v>
      </c>
      <c r="AI48">
        <v>1.89</v>
      </c>
      <c r="AJ48">
        <v>3.48</v>
      </c>
      <c r="AK48">
        <v>4.8899999999999997</v>
      </c>
      <c r="AL48">
        <v>1.91</v>
      </c>
      <c r="AM48">
        <v>3.4</v>
      </c>
      <c r="AN48">
        <v>4</v>
      </c>
      <c r="AO48">
        <v>1.83</v>
      </c>
      <c r="AP48">
        <v>3.3</v>
      </c>
      <c r="AQ48">
        <v>4.33</v>
      </c>
      <c r="AR48">
        <v>1.9</v>
      </c>
      <c r="AS48">
        <v>3.4</v>
      </c>
      <c r="AT48">
        <v>4.5999999999999996</v>
      </c>
      <c r="AU48">
        <v>34</v>
      </c>
      <c r="AV48">
        <v>1.95</v>
      </c>
      <c r="AW48">
        <v>1.89</v>
      </c>
      <c r="AX48">
        <v>3.5</v>
      </c>
      <c r="AY48">
        <v>3.35</v>
      </c>
      <c r="AZ48">
        <v>4.8899999999999997</v>
      </c>
      <c r="BA48">
        <v>4.2699999999999996</v>
      </c>
      <c r="BB48">
        <v>32</v>
      </c>
      <c r="BC48">
        <v>2.19</v>
      </c>
      <c r="BD48">
        <v>2.09</v>
      </c>
      <c r="BE48">
        <v>1.83</v>
      </c>
      <c r="BF48">
        <v>1.73</v>
      </c>
      <c r="BG48">
        <v>17</v>
      </c>
      <c r="BH48">
        <v>-0.5</v>
      </c>
      <c r="BI48">
        <v>1.96</v>
      </c>
      <c r="BJ48">
        <v>1.87</v>
      </c>
      <c r="BK48">
        <v>2.0499999999999998</v>
      </c>
      <c r="BL48">
        <v>1.99</v>
      </c>
      <c r="BM48">
        <v>1.92</v>
      </c>
      <c r="BN48">
        <v>3.42</v>
      </c>
      <c r="BO48">
        <v>4.83</v>
      </c>
    </row>
    <row r="49" spans="1:67">
      <c r="A49" t="s">
        <v>63</v>
      </c>
      <c r="B49" s="77">
        <v>41542</v>
      </c>
      <c r="C49" t="s">
        <v>64</v>
      </c>
      <c r="D49" t="s">
        <v>78</v>
      </c>
      <c r="E49">
        <v>0</v>
      </c>
      <c r="F49">
        <v>2</v>
      </c>
      <c r="G49" t="s">
        <v>66</v>
      </c>
      <c r="H49">
        <v>0</v>
      </c>
      <c r="I49">
        <v>0</v>
      </c>
      <c r="J49" t="s">
        <v>67</v>
      </c>
      <c r="K49">
        <v>13</v>
      </c>
      <c r="L49">
        <v>10</v>
      </c>
      <c r="M49">
        <v>3</v>
      </c>
      <c r="N49">
        <v>4</v>
      </c>
      <c r="O49">
        <v>15</v>
      </c>
      <c r="P49">
        <v>16</v>
      </c>
      <c r="Q49">
        <v>5</v>
      </c>
      <c r="R49">
        <v>1</v>
      </c>
      <c r="S49">
        <v>2</v>
      </c>
      <c r="T49">
        <v>3</v>
      </c>
      <c r="U49">
        <v>1</v>
      </c>
      <c r="V49">
        <v>0</v>
      </c>
      <c r="W49">
        <v>3.6</v>
      </c>
      <c r="X49">
        <v>3.3</v>
      </c>
      <c r="Y49">
        <v>2.0499999999999998</v>
      </c>
      <c r="Z49">
        <v>3.7</v>
      </c>
      <c r="AA49">
        <v>3.45</v>
      </c>
      <c r="AB49">
        <v>1.95</v>
      </c>
      <c r="AC49">
        <v>3.6</v>
      </c>
      <c r="AD49">
        <v>3.3</v>
      </c>
      <c r="AE49">
        <v>2</v>
      </c>
      <c r="AF49">
        <v>3.6</v>
      </c>
      <c r="AG49">
        <v>3.5</v>
      </c>
      <c r="AH49">
        <v>2</v>
      </c>
      <c r="AI49">
        <v>4.08</v>
      </c>
      <c r="AJ49">
        <v>3.54</v>
      </c>
      <c r="AK49">
        <v>2.0299999999999998</v>
      </c>
      <c r="AL49">
        <v>3.8</v>
      </c>
      <c r="AM49">
        <v>3.2</v>
      </c>
      <c r="AN49">
        <v>2.0499999999999998</v>
      </c>
      <c r="AO49">
        <v>3.75</v>
      </c>
      <c r="AP49">
        <v>3.3</v>
      </c>
      <c r="AQ49">
        <v>1.95</v>
      </c>
      <c r="AR49">
        <v>3.9</v>
      </c>
      <c r="AS49">
        <v>3.5</v>
      </c>
      <c r="AT49">
        <v>2.0499999999999998</v>
      </c>
      <c r="AU49">
        <v>34</v>
      </c>
      <c r="AV49">
        <v>4.08</v>
      </c>
      <c r="AW49">
        <v>3.74</v>
      </c>
      <c r="AX49">
        <v>3.65</v>
      </c>
      <c r="AY49">
        <v>3.36</v>
      </c>
      <c r="AZ49">
        <v>2.1</v>
      </c>
      <c r="BA49">
        <v>2.0099999999999998</v>
      </c>
      <c r="BB49">
        <v>32</v>
      </c>
      <c r="BC49">
        <v>1.97</v>
      </c>
      <c r="BD49">
        <v>1.9</v>
      </c>
      <c r="BE49">
        <v>2</v>
      </c>
      <c r="BF49">
        <v>1.9</v>
      </c>
      <c r="BG49">
        <v>17</v>
      </c>
      <c r="BH49">
        <v>0.5</v>
      </c>
      <c r="BI49">
        <v>1.91</v>
      </c>
      <c r="BJ49">
        <v>1.87</v>
      </c>
      <c r="BK49">
        <v>2.04</v>
      </c>
      <c r="BL49">
        <v>2</v>
      </c>
      <c r="BM49">
        <v>4.51</v>
      </c>
      <c r="BN49">
        <v>3.53</v>
      </c>
      <c r="BO49">
        <v>1.94</v>
      </c>
    </row>
    <row r="50" spans="1:67">
      <c r="A50" t="s">
        <v>63</v>
      </c>
      <c r="B50" s="77">
        <v>41542</v>
      </c>
      <c r="C50" t="s">
        <v>83</v>
      </c>
      <c r="D50" t="s">
        <v>68</v>
      </c>
      <c r="E50">
        <v>2</v>
      </c>
      <c r="F50">
        <v>2</v>
      </c>
      <c r="G50" t="s">
        <v>67</v>
      </c>
      <c r="H50">
        <v>1</v>
      </c>
      <c r="I50">
        <v>1</v>
      </c>
      <c r="J50" t="s">
        <v>67</v>
      </c>
      <c r="K50">
        <v>11</v>
      </c>
      <c r="L50">
        <v>7</v>
      </c>
      <c r="M50">
        <v>7</v>
      </c>
      <c r="N50">
        <v>6</v>
      </c>
      <c r="O50">
        <v>11</v>
      </c>
      <c r="P50">
        <v>17</v>
      </c>
      <c r="Q50">
        <v>9</v>
      </c>
      <c r="R50">
        <v>3</v>
      </c>
      <c r="S50">
        <v>1</v>
      </c>
      <c r="T50">
        <v>0</v>
      </c>
      <c r="U50">
        <v>0</v>
      </c>
      <c r="V50">
        <v>0</v>
      </c>
      <c r="W50">
        <v>1.91</v>
      </c>
      <c r="X50">
        <v>3.4</v>
      </c>
      <c r="Y50">
        <v>4</v>
      </c>
      <c r="Z50">
        <v>1.95</v>
      </c>
      <c r="AA50">
        <v>3.35</v>
      </c>
      <c r="AB50">
        <v>3.85</v>
      </c>
      <c r="AC50">
        <v>1.95</v>
      </c>
      <c r="AD50">
        <v>3.35</v>
      </c>
      <c r="AE50">
        <v>3.7</v>
      </c>
      <c r="AF50">
        <v>2.0499999999999998</v>
      </c>
      <c r="AG50">
        <v>3.3</v>
      </c>
      <c r="AH50">
        <v>3.75</v>
      </c>
      <c r="AI50">
        <v>2</v>
      </c>
      <c r="AJ50">
        <v>3.37</v>
      </c>
      <c r="AK50">
        <v>4.42</v>
      </c>
      <c r="AL50">
        <v>2.0499999999999998</v>
      </c>
      <c r="AM50">
        <v>3.2</v>
      </c>
      <c r="AN50">
        <v>3.8</v>
      </c>
      <c r="AO50">
        <v>1.95</v>
      </c>
      <c r="AP50">
        <v>3.3</v>
      </c>
      <c r="AQ50">
        <v>3.8</v>
      </c>
      <c r="AR50">
        <v>2</v>
      </c>
      <c r="AS50">
        <v>3.4</v>
      </c>
      <c r="AT50">
        <v>4.3</v>
      </c>
      <c r="AU50">
        <v>34</v>
      </c>
      <c r="AV50">
        <v>2.08</v>
      </c>
      <c r="AW50">
        <v>1.99</v>
      </c>
      <c r="AX50">
        <v>3.4</v>
      </c>
      <c r="AY50">
        <v>3.33</v>
      </c>
      <c r="AZ50">
        <v>4.42</v>
      </c>
      <c r="BA50">
        <v>3.86</v>
      </c>
      <c r="BB50">
        <v>32</v>
      </c>
      <c r="BC50">
        <v>2.27</v>
      </c>
      <c r="BD50">
        <v>2.19</v>
      </c>
      <c r="BE50">
        <v>1.76</v>
      </c>
      <c r="BF50">
        <v>1.67</v>
      </c>
      <c r="BG50">
        <v>17</v>
      </c>
      <c r="BH50">
        <v>-0.5</v>
      </c>
      <c r="BI50">
        <v>2.06</v>
      </c>
      <c r="BJ50">
        <v>1.98</v>
      </c>
      <c r="BK50">
        <v>1.94</v>
      </c>
      <c r="BL50">
        <v>1.89</v>
      </c>
      <c r="BM50">
        <v>1.91</v>
      </c>
      <c r="BN50">
        <v>3.37</v>
      </c>
      <c r="BO50">
        <v>4.99</v>
      </c>
    </row>
    <row r="51" spans="1:67">
      <c r="A51" t="s">
        <v>63</v>
      </c>
      <c r="B51" s="77">
        <v>41543</v>
      </c>
      <c r="C51" t="s">
        <v>73</v>
      </c>
      <c r="D51" t="s">
        <v>85</v>
      </c>
      <c r="E51">
        <v>2</v>
      </c>
      <c r="F51">
        <v>1</v>
      </c>
      <c r="G51" t="s">
        <v>70</v>
      </c>
      <c r="H51">
        <v>0</v>
      </c>
      <c r="I51">
        <v>0</v>
      </c>
      <c r="J51" t="s">
        <v>67</v>
      </c>
      <c r="K51">
        <v>15</v>
      </c>
      <c r="L51">
        <v>18</v>
      </c>
      <c r="M51">
        <v>5</v>
      </c>
      <c r="N51">
        <v>6</v>
      </c>
      <c r="O51">
        <v>15</v>
      </c>
      <c r="P51">
        <v>7</v>
      </c>
      <c r="Q51">
        <v>6</v>
      </c>
      <c r="R51">
        <v>6</v>
      </c>
      <c r="S51">
        <v>4</v>
      </c>
      <c r="T51">
        <v>1</v>
      </c>
      <c r="U51">
        <v>0</v>
      </c>
      <c r="V51">
        <v>0</v>
      </c>
      <c r="W51">
        <v>1.91</v>
      </c>
      <c r="X51">
        <v>3.4</v>
      </c>
      <c r="Y51">
        <v>4</v>
      </c>
      <c r="Z51">
        <v>2</v>
      </c>
      <c r="AA51">
        <v>3.4</v>
      </c>
      <c r="AB51">
        <v>3.6</v>
      </c>
      <c r="AC51">
        <v>2.1</v>
      </c>
      <c r="AD51">
        <v>3.3</v>
      </c>
      <c r="AE51">
        <v>3.3</v>
      </c>
      <c r="AF51">
        <v>2</v>
      </c>
      <c r="AG51">
        <v>3.4</v>
      </c>
      <c r="AH51">
        <v>3.75</v>
      </c>
      <c r="AI51">
        <v>2.0299999999999998</v>
      </c>
      <c r="AJ51">
        <v>3.49</v>
      </c>
      <c r="AK51">
        <v>4.1900000000000004</v>
      </c>
      <c r="AL51">
        <v>1.91</v>
      </c>
      <c r="AM51">
        <v>3.3</v>
      </c>
      <c r="AN51">
        <v>4.2</v>
      </c>
      <c r="AO51">
        <v>1.95</v>
      </c>
      <c r="AP51">
        <v>3.3</v>
      </c>
      <c r="AQ51">
        <v>3.75</v>
      </c>
      <c r="AR51">
        <v>2.0499999999999998</v>
      </c>
      <c r="AS51">
        <v>3.5</v>
      </c>
      <c r="AT51">
        <v>3.8</v>
      </c>
      <c r="AU51">
        <v>32</v>
      </c>
      <c r="AV51">
        <v>2.1</v>
      </c>
      <c r="AW51">
        <v>1.99</v>
      </c>
      <c r="AX51">
        <v>3.55</v>
      </c>
      <c r="AY51">
        <v>3.37</v>
      </c>
      <c r="AZ51">
        <v>4.2</v>
      </c>
      <c r="BA51">
        <v>3.77</v>
      </c>
      <c r="BB51">
        <v>30</v>
      </c>
      <c r="BC51">
        <v>1.92</v>
      </c>
      <c r="BD51">
        <v>1.82</v>
      </c>
      <c r="BE51">
        <v>2.1</v>
      </c>
      <c r="BF51">
        <v>1.98</v>
      </c>
      <c r="BG51">
        <v>16</v>
      </c>
      <c r="BH51">
        <v>-0.25</v>
      </c>
      <c r="BI51">
        <v>1.75</v>
      </c>
      <c r="BJ51">
        <v>1.71</v>
      </c>
      <c r="BK51">
        <v>2.27</v>
      </c>
      <c r="BL51">
        <v>2.1800000000000002</v>
      </c>
      <c r="BM51">
        <v>1.94</v>
      </c>
      <c r="BN51">
        <v>3.61</v>
      </c>
      <c r="BO51">
        <v>4.4000000000000004</v>
      </c>
    </row>
    <row r="52" spans="1:67">
      <c r="A52" t="s">
        <v>63</v>
      </c>
      <c r="B52" s="77">
        <v>41545</v>
      </c>
      <c r="C52" t="s">
        <v>74</v>
      </c>
      <c r="D52" t="s">
        <v>79</v>
      </c>
      <c r="E52">
        <v>0</v>
      </c>
      <c r="F52">
        <v>2</v>
      </c>
      <c r="G52" t="s">
        <v>66</v>
      </c>
      <c r="H52">
        <v>0</v>
      </c>
      <c r="I52">
        <v>2</v>
      </c>
      <c r="J52" t="s">
        <v>66</v>
      </c>
      <c r="K52">
        <v>10</v>
      </c>
      <c r="L52">
        <v>11</v>
      </c>
      <c r="M52">
        <v>2</v>
      </c>
      <c r="N52">
        <v>3</v>
      </c>
      <c r="O52">
        <v>17</v>
      </c>
      <c r="P52">
        <v>10</v>
      </c>
      <c r="Q52">
        <v>5</v>
      </c>
      <c r="R52">
        <v>7</v>
      </c>
      <c r="S52">
        <v>2</v>
      </c>
      <c r="T52">
        <v>2</v>
      </c>
      <c r="U52">
        <v>0</v>
      </c>
      <c r="V52">
        <v>0</v>
      </c>
      <c r="W52">
        <v>4.75</v>
      </c>
      <c r="X52">
        <v>3.5</v>
      </c>
      <c r="Y52">
        <v>1.75</v>
      </c>
      <c r="Z52">
        <v>4.5</v>
      </c>
      <c r="AA52">
        <v>3.7</v>
      </c>
      <c r="AB52">
        <v>1.75</v>
      </c>
      <c r="AC52">
        <v>4.5</v>
      </c>
      <c r="AD52">
        <v>3.5</v>
      </c>
      <c r="AE52">
        <v>1.75</v>
      </c>
      <c r="AF52">
        <v>4.5</v>
      </c>
      <c r="AG52">
        <v>3.6</v>
      </c>
      <c r="AH52">
        <v>1.76</v>
      </c>
      <c r="AI52">
        <v>4.99</v>
      </c>
      <c r="AJ52">
        <v>3.74</v>
      </c>
      <c r="AK52">
        <v>1.81</v>
      </c>
      <c r="AL52">
        <v>4.8</v>
      </c>
      <c r="AM52">
        <v>3.25</v>
      </c>
      <c r="AN52">
        <v>1.83</v>
      </c>
      <c r="AO52">
        <v>4.5</v>
      </c>
      <c r="AP52">
        <v>3.5</v>
      </c>
      <c r="AQ52">
        <v>1.73</v>
      </c>
      <c r="AR52">
        <v>4.5999999999999996</v>
      </c>
      <c r="AS52">
        <v>3.7</v>
      </c>
      <c r="AT52">
        <v>1.85</v>
      </c>
      <c r="AU52">
        <v>35</v>
      </c>
      <c r="AV52">
        <v>5.0999999999999996</v>
      </c>
      <c r="AW52">
        <v>4.67</v>
      </c>
      <c r="AX52">
        <v>3.75</v>
      </c>
      <c r="AY52">
        <v>3.5</v>
      </c>
      <c r="AZ52">
        <v>1.85</v>
      </c>
      <c r="BA52">
        <v>1.78</v>
      </c>
      <c r="BB52">
        <v>32</v>
      </c>
      <c r="BC52">
        <v>1.99</v>
      </c>
      <c r="BD52">
        <v>1.88</v>
      </c>
      <c r="BE52">
        <v>2.04</v>
      </c>
      <c r="BF52">
        <v>1.91</v>
      </c>
      <c r="BG52">
        <v>17</v>
      </c>
      <c r="BH52">
        <v>0.75</v>
      </c>
      <c r="BI52">
        <v>1.86</v>
      </c>
      <c r="BJ52">
        <v>1.81</v>
      </c>
      <c r="BK52">
        <v>2.12</v>
      </c>
      <c r="BL52">
        <v>2.0699999999999998</v>
      </c>
      <c r="BM52">
        <v>4.25</v>
      </c>
      <c r="BN52">
        <v>3.65</v>
      </c>
      <c r="BO52">
        <v>1.96</v>
      </c>
    </row>
    <row r="53" spans="1:67">
      <c r="A53" t="s">
        <v>63</v>
      </c>
      <c r="B53" s="77">
        <v>41545</v>
      </c>
      <c r="C53" t="s">
        <v>69</v>
      </c>
      <c r="D53" t="s">
        <v>64</v>
      </c>
      <c r="E53">
        <v>1</v>
      </c>
      <c r="F53">
        <v>0</v>
      </c>
      <c r="G53" t="s">
        <v>70</v>
      </c>
      <c r="H53">
        <v>0</v>
      </c>
      <c r="I53">
        <v>0</v>
      </c>
      <c r="J53" t="s">
        <v>67</v>
      </c>
      <c r="K53">
        <v>16</v>
      </c>
      <c r="L53">
        <v>14</v>
      </c>
      <c r="M53">
        <v>5</v>
      </c>
      <c r="N53">
        <v>1</v>
      </c>
      <c r="O53">
        <v>10</v>
      </c>
      <c r="P53">
        <v>11</v>
      </c>
      <c r="Q53">
        <v>7</v>
      </c>
      <c r="R53">
        <v>2</v>
      </c>
      <c r="S53">
        <v>0</v>
      </c>
      <c r="T53">
        <v>3</v>
      </c>
      <c r="U53">
        <v>0</v>
      </c>
      <c r="V53">
        <v>0</v>
      </c>
      <c r="W53">
        <v>1.5</v>
      </c>
      <c r="X53">
        <v>4</v>
      </c>
      <c r="Y53">
        <v>7</v>
      </c>
      <c r="Z53">
        <v>1.45</v>
      </c>
      <c r="AA53">
        <v>4.25</v>
      </c>
      <c r="AB53">
        <v>7</v>
      </c>
      <c r="AC53">
        <v>1.45</v>
      </c>
      <c r="AD53">
        <v>4</v>
      </c>
      <c r="AE53">
        <v>7</v>
      </c>
      <c r="AF53">
        <v>1.5</v>
      </c>
      <c r="AG53">
        <v>4</v>
      </c>
      <c r="AH53">
        <v>7</v>
      </c>
      <c r="AI53">
        <v>1.47</v>
      </c>
      <c r="AJ53">
        <v>4.59</v>
      </c>
      <c r="AK53">
        <v>8.25</v>
      </c>
      <c r="AL53">
        <v>1.44</v>
      </c>
      <c r="AM53">
        <v>4.33</v>
      </c>
      <c r="AN53">
        <v>7.5</v>
      </c>
      <c r="AO53">
        <v>1.44</v>
      </c>
      <c r="AP53">
        <v>4</v>
      </c>
      <c r="AQ53">
        <v>7</v>
      </c>
      <c r="AR53">
        <v>1.45</v>
      </c>
      <c r="AS53">
        <v>4.5</v>
      </c>
      <c r="AT53">
        <v>8</v>
      </c>
      <c r="AU53">
        <v>35</v>
      </c>
      <c r="AV53">
        <v>1.5</v>
      </c>
      <c r="AW53">
        <v>1.46</v>
      </c>
      <c r="AX53">
        <v>4.59</v>
      </c>
      <c r="AY53">
        <v>4.1900000000000004</v>
      </c>
      <c r="AZ53">
        <v>8.3000000000000007</v>
      </c>
      <c r="BA53">
        <v>7.19</v>
      </c>
      <c r="BB53">
        <v>32</v>
      </c>
      <c r="BC53">
        <v>1.96</v>
      </c>
      <c r="BD53">
        <v>1.84</v>
      </c>
      <c r="BE53">
        <v>2.06</v>
      </c>
      <c r="BF53">
        <v>1.96</v>
      </c>
      <c r="BG53">
        <v>20</v>
      </c>
      <c r="BH53">
        <v>-1</v>
      </c>
      <c r="BI53">
        <v>1.81</v>
      </c>
      <c r="BJ53">
        <v>1.77</v>
      </c>
      <c r="BK53">
        <v>2.1800000000000002</v>
      </c>
      <c r="BL53">
        <v>2.11</v>
      </c>
      <c r="BM53">
        <v>1.44</v>
      </c>
      <c r="BN53">
        <v>4.63</v>
      </c>
      <c r="BO53">
        <v>8.9499999999999993</v>
      </c>
    </row>
    <row r="54" spans="1:67">
      <c r="A54" t="s">
        <v>63</v>
      </c>
      <c r="B54" s="77">
        <v>41546</v>
      </c>
      <c r="C54" t="s">
        <v>72</v>
      </c>
      <c r="D54" t="s">
        <v>76</v>
      </c>
      <c r="E54">
        <v>2</v>
      </c>
      <c r="F54">
        <v>0</v>
      </c>
      <c r="G54" t="s">
        <v>70</v>
      </c>
      <c r="H54">
        <v>1</v>
      </c>
      <c r="I54">
        <v>0</v>
      </c>
      <c r="J54" t="s">
        <v>70</v>
      </c>
      <c r="K54">
        <v>12</v>
      </c>
      <c r="L54">
        <v>11</v>
      </c>
      <c r="M54">
        <v>5</v>
      </c>
      <c r="N54">
        <v>3</v>
      </c>
      <c r="O54">
        <v>17</v>
      </c>
      <c r="P54">
        <v>16</v>
      </c>
      <c r="Q54">
        <v>8</v>
      </c>
      <c r="R54">
        <v>4</v>
      </c>
      <c r="S54">
        <v>1</v>
      </c>
      <c r="T54">
        <v>4</v>
      </c>
      <c r="U54">
        <v>0</v>
      </c>
      <c r="V54">
        <v>0</v>
      </c>
      <c r="W54">
        <v>2.5</v>
      </c>
      <c r="X54">
        <v>3.2</v>
      </c>
      <c r="Y54">
        <v>2.88</v>
      </c>
      <c r="Z54">
        <v>2.5499999999999998</v>
      </c>
      <c r="AA54">
        <v>3.1</v>
      </c>
      <c r="AB54">
        <v>2.85</v>
      </c>
      <c r="AC54">
        <v>2.5</v>
      </c>
      <c r="AD54">
        <v>3.2</v>
      </c>
      <c r="AE54">
        <v>2.73</v>
      </c>
      <c r="AF54">
        <v>2.4500000000000002</v>
      </c>
      <c r="AG54">
        <v>3.2</v>
      </c>
      <c r="AH54">
        <v>2.9</v>
      </c>
      <c r="AI54">
        <v>2.68</v>
      </c>
      <c r="AJ54">
        <v>3.24</v>
      </c>
      <c r="AK54">
        <v>2.95</v>
      </c>
      <c r="AL54">
        <v>2.7</v>
      </c>
      <c r="AM54">
        <v>3.1</v>
      </c>
      <c r="AN54">
        <v>2.7</v>
      </c>
      <c r="AO54">
        <v>2.4</v>
      </c>
      <c r="AP54">
        <v>3.13</v>
      </c>
      <c r="AQ54">
        <v>2.8</v>
      </c>
      <c r="AR54">
        <v>2.62</v>
      </c>
      <c r="AS54">
        <v>3.2</v>
      </c>
      <c r="AT54">
        <v>2.9</v>
      </c>
      <c r="AU54">
        <v>35</v>
      </c>
      <c r="AV54">
        <v>2.7</v>
      </c>
      <c r="AW54">
        <v>2.5299999999999998</v>
      </c>
      <c r="AX54">
        <v>3.3</v>
      </c>
      <c r="AY54">
        <v>3.18</v>
      </c>
      <c r="AZ54">
        <v>3</v>
      </c>
      <c r="BA54">
        <v>2.84</v>
      </c>
      <c r="BB54">
        <v>32</v>
      </c>
      <c r="BC54">
        <v>2.2599999999999998</v>
      </c>
      <c r="BD54">
        <v>2.15</v>
      </c>
      <c r="BE54">
        <v>1.75</v>
      </c>
      <c r="BF54">
        <v>1.69</v>
      </c>
      <c r="BG54">
        <v>18</v>
      </c>
      <c r="BH54">
        <v>0</v>
      </c>
      <c r="BI54">
        <v>1.88</v>
      </c>
      <c r="BJ54">
        <v>1.83</v>
      </c>
      <c r="BK54">
        <v>2.13</v>
      </c>
      <c r="BL54">
        <v>2.02</v>
      </c>
      <c r="BM54">
        <v>2.82</v>
      </c>
      <c r="BN54">
        <v>3.17</v>
      </c>
      <c r="BO54">
        <v>2.85</v>
      </c>
    </row>
    <row r="55" spans="1:67">
      <c r="A55" t="s">
        <v>63</v>
      </c>
      <c r="B55" s="77">
        <v>41546</v>
      </c>
      <c r="C55" t="s">
        <v>71</v>
      </c>
      <c r="D55" t="s">
        <v>73</v>
      </c>
      <c r="E55">
        <v>1</v>
      </c>
      <c r="F55">
        <v>1</v>
      </c>
      <c r="G55" t="s">
        <v>67</v>
      </c>
      <c r="H55">
        <v>0</v>
      </c>
      <c r="I55">
        <v>0</v>
      </c>
      <c r="J55" t="s">
        <v>67</v>
      </c>
      <c r="K55">
        <v>9</v>
      </c>
      <c r="L55">
        <v>15</v>
      </c>
      <c r="M55">
        <v>3</v>
      </c>
      <c r="N55">
        <v>5</v>
      </c>
      <c r="O55">
        <v>14</v>
      </c>
      <c r="P55">
        <v>14</v>
      </c>
      <c r="Q55">
        <v>2</v>
      </c>
      <c r="R55">
        <v>6</v>
      </c>
      <c r="S55">
        <v>4</v>
      </c>
      <c r="T55">
        <v>2</v>
      </c>
      <c r="U55">
        <v>0</v>
      </c>
      <c r="V55">
        <v>0</v>
      </c>
      <c r="W55">
        <v>3.8</v>
      </c>
      <c r="X55">
        <v>3.3</v>
      </c>
      <c r="Y55">
        <v>2</v>
      </c>
      <c r="Z55">
        <v>3.9</v>
      </c>
      <c r="AA55">
        <v>3.5</v>
      </c>
      <c r="AB55">
        <v>1.91</v>
      </c>
      <c r="AC55">
        <v>3.8</v>
      </c>
      <c r="AD55">
        <v>3.45</v>
      </c>
      <c r="AE55">
        <v>1.9</v>
      </c>
      <c r="AF55">
        <v>4</v>
      </c>
      <c r="AG55">
        <v>3.3</v>
      </c>
      <c r="AH55">
        <v>1.95</v>
      </c>
      <c r="AI55">
        <v>4.0599999999999996</v>
      </c>
      <c r="AJ55">
        <v>3.61</v>
      </c>
      <c r="AK55">
        <v>2.0099999999999998</v>
      </c>
      <c r="AL55">
        <v>3.6</v>
      </c>
      <c r="AM55">
        <v>3.3</v>
      </c>
      <c r="AN55">
        <v>2.0499999999999998</v>
      </c>
      <c r="AO55">
        <v>3.75</v>
      </c>
      <c r="AP55">
        <v>3.3</v>
      </c>
      <c r="AQ55">
        <v>1.95</v>
      </c>
      <c r="AR55">
        <v>3.9</v>
      </c>
      <c r="AS55">
        <v>3.6</v>
      </c>
      <c r="AT55">
        <v>2.0499999999999998</v>
      </c>
      <c r="AU55">
        <v>35</v>
      </c>
      <c r="AV55">
        <v>4.4000000000000004</v>
      </c>
      <c r="AW55">
        <v>3.84</v>
      </c>
      <c r="AX55">
        <v>3.61</v>
      </c>
      <c r="AY55">
        <v>3.38</v>
      </c>
      <c r="AZ55">
        <v>2.0499999999999998</v>
      </c>
      <c r="BA55">
        <v>1.97</v>
      </c>
      <c r="BB55">
        <v>32</v>
      </c>
      <c r="BC55">
        <v>2</v>
      </c>
      <c r="BD55">
        <v>1.92</v>
      </c>
      <c r="BE55">
        <v>1.97</v>
      </c>
      <c r="BF55">
        <v>1.87</v>
      </c>
      <c r="BG55">
        <v>17</v>
      </c>
      <c r="BH55">
        <v>0.25</v>
      </c>
      <c r="BI55">
        <v>2.2599999999999998</v>
      </c>
      <c r="BJ55">
        <v>2.19</v>
      </c>
      <c r="BK55">
        <v>1.74</v>
      </c>
      <c r="BL55">
        <v>1.71</v>
      </c>
      <c r="BM55">
        <v>4.09</v>
      </c>
      <c r="BN55">
        <v>3.41</v>
      </c>
      <c r="BO55">
        <v>2.0699999999999998</v>
      </c>
    </row>
    <row r="56" spans="1:67">
      <c r="A56" t="s">
        <v>63</v>
      </c>
      <c r="B56" s="77">
        <v>41546</v>
      </c>
      <c r="C56" t="s">
        <v>86</v>
      </c>
      <c r="D56" t="s">
        <v>82</v>
      </c>
      <c r="E56">
        <v>2</v>
      </c>
      <c r="F56">
        <v>0</v>
      </c>
      <c r="G56" t="s">
        <v>70</v>
      </c>
      <c r="H56">
        <v>1</v>
      </c>
      <c r="I56">
        <v>0</v>
      </c>
      <c r="J56" t="s">
        <v>70</v>
      </c>
      <c r="K56">
        <v>8</v>
      </c>
      <c r="L56">
        <v>14</v>
      </c>
      <c r="M56">
        <v>5</v>
      </c>
      <c r="N56">
        <v>3</v>
      </c>
      <c r="O56">
        <v>14</v>
      </c>
      <c r="P56">
        <v>17</v>
      </c>
      <c r="Q56">
        <v>1</v>
      </c>
      <c r="R56">
        <v>9</v>
      </c>
      <c r="S56">
        <v>2</v>
      </c>
      <c r="T56">
        <v>3</v>
      </c>
      <c r="U56">
        <v>0</v>
      </c>
      <c r="V56">
        <v>0</v>
      </c>
      <c r="W56">
        <v>2.0499999999999998</v>
      </c>
      <c r="X56">
        <v>3.3</v>
      </c>
      <c r="Y56">
        <v>3.6</v>
      </c>
      <c r="Z56">
        <v>2.15</v>
      </c>
      <c r="AA56">
        <v>3.2</v>
      </c>
      <c r="AB56">
        <v>3.5</v>
      </c>
      <c r="AC56">
        <v>2</v>
      </c>
      <c r="AD56">
        <v>3.3</v>
      </c>
      <c r="AE56">
        <v>3.6</v>
      </c>
      <c r="AF56">
        <v>2.1</v>
      </c>
      <c r="AG56">
        <v>3.3</v>
      </c>
      <c r="AH56">
        <v>3.5</v>
      </c>
      <c r="AI56">
        <v>2.13</v>
      </c>
      <c r="AJ56">
        <v>3.37</v>
      </c>
      <c r="AK56">
        <v>3.94</v>
      </c>
      <c r="AL56">
        <v>2.1</v>
      </c>
      <c r="AM56">
        <v>3.2</v>
      </c>
      <c r="AN56">
        <v>3.6</v>
      </c>
      <c r="AO56">
        <v>2.0499999999999998</v>
      </c>
      <c r="AP56">
        <v>3.25</v>
      </c>
      <c r="AQ56">
        <v>3.4</v>
      </c>
      <c r="AR56">
        <v>2.15</v>
      </c>
      <c r="AS56">
        <v>3.3</v>
      </c>
      <c r="AT56">
        <v>3.9</v>
      </c>
      <c r="AU56">
        <v>35</v>
      </c>
      <c r="AV56">
        <v>2.1800000000000002</v>
      </c>
      <c r="AW56">
        <v>2.1</v>
      </c>
      <c r="AX56">
        <v>3.4</v>
      </c>
      <c r="AY56">
        <v>3.26</v>
      </c>
      <c r="AZ56">
        <v>3.94</v>
      </c>
      <c r="BA56">
        <v>3.58</v>
      </c>
      <c r="BB56">
        <v>32</v>
      </c>
      <c r="BC56">
        <v>2.2599999999999998</v>
      </c>
      <c r="BD56">
        <v>2.17</v>
      </c>
      <c r="BE56">
        <v>1.74</v>
      </c>
      <c r="BF56">
        <v>1.68</v>
      </c>
      <c r="BG56">
        <v>17</v>
      </c>
      <c r="BH56">
        <v>-0.5</v>
      </c>
      <c r="BI56">
        <v>2.1800000000000002</v>
      </c>
      <c r="BJ56">
        <v>2.11</v>
      </c>
      <c r="BK56">
        <v>1.82</v>
      </c>
      <c r="BL56">
        <v>1.77</v>
      </c>
      <c r="BM56">
        <v>2.2000000000000002</v>
      </c>
      <c r="BN56">
        <v>3.21</v>
      </c>
      <c r="BO56">
        <v>3.95</v>
      </c>
    </row>
    <row r="57" spans="1:67">
      <c r="A57" t="s">
        <v>63</v>
      </c>
      <c r="B57" s="77">
        <v>41546</v>
      </c>
      <c r="C57" t="s">
        <v>78</v>
      </c>
      <c r="D57" t="s">
        <v>80</v>
      </c>
      <c r="E57">
        <v>5</v>
      </c>
      <c r="F57">
        <v>0</v>
      </c>
      <c r="G57" t="s">
        <v>70</v>
      </c>
      <c r="H57">
        <v>3</v>
      </c>
      <c r="I57">
        <v>0</v>
      </c>
      <c r="J57" t="s">
        <v>70</v>
      </c>
      <c r="K57">
        <v>11</v>
      </c>
      <c r="L57">
        <v>11</v>
      </c>
      <c r="M57">
        <v>7</v>
      </c>
      <c r="N57">
        <v>3</v>
      </c>
      <c r="O57">
        <v>12</v>
      </c>
      <c r="P57">
        <v>13</v>
      </c>
      <c r="Q57">
        <v>2</v>
      </c>
      <c r="R57">
        <v>7</v>
      </c>
      <c r="S57">
        <v>1</v>
      </c>
      <c r="T57">
        <v>3</v>
      </c>
      <c r="U57">
        <v>0</v>
      </c>
      <c r="V57">
        <v>0</v>
      </c>
      <c r="W57">
        <v>1.33</v>
      </c>
      <c r="X57">
        <v>5</v>
      </c>
      <c r="Y57">
        <v>9</v>
      </c>
      <c r="Z57">
        <v>1.33</v>
      </c>
      <c r="AA57">
        <v>5</v>
      </c>
      <c r="AB57">
        <v>9</v>
      </c>
      <c r="AC57">
        <v>1.33</v>
      </c>
      <c r="AD57">
        <v>5</v>
      </c>
      <c r="AE57">
        <v>8</v>
      </c>
      <c r="AF57">
        <v>1.33</v>
      </c>
      <c r="AG57">
        <v>5</v>
      </c>
      <c r="AH57">
        <v>9</v>
      </c>
      <c r="AI57">
        <v>1.35</v>
      </c>
      <c r="AJ57">
        <v>5.19</v>
      </c>
      <c r="AK57">
        <v>11.2</v>
      </c>
      <c r="AL57">
        <v>1.36</v>
      </c>
      <c r="AM57">
        <v>4.5</v>
      </c>
      <c r="AN57">
        <v>9</v>
      </c>
      <c r="AO57">
        <v>1.33</v>
      </c>
      <c r="AP57">
        <v>4.5</v>
      </c>
      <c r="AQ57">
        <v>8.5</v>
      </c>
      <c r="AR57">
        <v>1.36</v>
      </c>
      <c r="AS57">
        <v>5</v>
      </c>
      <c r="AT57">
        <v>10.5</v>
      </c>
      <c r="AU57">
        <v>35</v>
      </c>
      <c r="AV57">
        <v>1.37</v>
      </c>
      <c r="AW57">
        <v>1.35</v>
      </c>
      <c r="AX57">
        <v>5.2</v>
      </c>
      <c r="AY57">
        <v>4.7699999999999996</v>
      </c>
      <c r="AZ57">
        <v>11.2</v>
      </c>
      <c r="BA57">
        <v>9.15</v>
      </c>
      <c r="BB57">
        <v>30</v>
      </c>
      <c r="BC57">
        <v>1.77</v>
      </c>
      <c r="BD57">
        <v>1.69</v>
      </c>
      <c r="BE57">
        <v>2.25</v>
      </c>
      <c r="BF57">
        <v>2.14</v>
      </c>
      <c r="BG57">
        <v>20</v>
      </c>
      <c r="BH57">
        <v>-1.5</v>
      </c>
      <c r="BI57">
        <v>2.08</v>
      </c>
      <c r="BJ57">
        <v>2.02</v>
      </c>
      <c r="BK57">
        <v>1.88</v>
      </c>
      <c r="BL57">
        <v>1.84</v>
      </c>
      <c r="BM57">
        <v>1.37</v>
      </c>
      <c r="BN57">
        <v>4.74</v>
      </c>
      <c r="BO57">
        <v>9.26</v>
      </c>
    </row>
    <row r="58" spans="1:67">
      <c r="A58" t="s">
        <v>63</v>
      </c>
      <c r="B58" s="77">
        <v>41546</v>
      </c>
      <c r="C58" t="s">
        <v>84</v>
      </c>
      <c r="D58" t="s">
        <v>75</v>
      </c>
      <c r="E58">
        <v>2</v>
      </c>
      <c r="F58">
        <v>2</v>
      </c>
      <c r="G58" t="s">
        <v>67</v>
      </c>
      <c r="H58">
        <v>0</v>
      </c>
      <c r="I58">
        <v>0</v>
      </c>
      <c r="J58" t="s">
        <v>67</v>
      </c>
      <c r="K58">
        <v>20</v>
      </c>
      <c r="L58">
        <v>12</v>
      </c>
      <c r="M58">
        <v>6</v>
      </c>
      <c r="N58">
        <v>4</v>
      </c>
      <c r="O58">
        <v>12</v>
      </c>
      <c r="P58">
        <v>11</v>
      </c>
      <c r="Q58">
        <v>12</v>
      </c>
      <c r="R58">
        <v>4</v>
      </c>
      <c r="S58">
        <v>3</v>
      </c>
      <c r="T58">
        <v>1</v>
      </c>
      <c r="U58">
        <v>0</v>
      </c>
      <c r="V58">
        <v>0</v>
      </c>
      <c r="W58">
        <v>4.5</v>
      </c>
      <c r="X58">
        <v>3.4</v>
      </c>
      <c r="Y58">
        <v>1.83</v>
      </c>
      <c r="Z58">
        <v>4.4000000000000004</v>
      </c>
      <c r="AA58">
        <v>3.5</v>
      </c>
      <c r="AB58">
        <v>1.8</v>
      </c>
      <c r="AC58">
        <v>4.5</v>
      </c>
      <c r="AD58">
        <v>3.5</v>
      </c>
      <c r="AE58">
        <v>1.75</v>
      </c>
      <c r="AF58">
        <v>4.33</v>
      </c>
      <c r="AG58">
        <v>3.4</v>
      </c>
      <c r="AH58">
        <v>1.85</v>
      </c>
      <c r="AI58">
        <v>4.28</v>
      </c>
      <c r="AJ58">
        <v>3.55</v>
      </c>
      <c r="AK58">
        <v>1.98</v>
      </c>
      <c r="AL58">
        <v>4.2</v>
      </c>
      <c r="AM58">
        <v>3.3</v>
      </c>
      <c r="AN58">
        <v>1.91</v>
      </c>
      <c r="AO58">
        <v>3.8</v>
      </c>
      <c r="AP58">
        <v>3.5</v>
      </c>
      <c r="AQ58">
        <v>1.9</v>
      </c>
      <c r="AR58">
        <v>4.2</v>
      </c>
      <c r="AS58">
        <v>3.6</v>
      </c>
      <c r="AT58">
        <v>1.95</v>
      </c>
      <c r="AU58">
        <v>35</v>
      </c>
      <c r="AV58">
        <v>4.7</v>
      </c>
      <c r="AW58">
        <v>4.18</v>
      </c>
      <c r="AX58">
        <v>3.6</v>
      </c>
      <c r="AY58">
        <v>3.46</v>
      </c>
      <c r="AZ58">
        <v>1.98</v>
      </c>
      <c r="BA58">
        <v>1.88</v>
      </c>
      <c r="BB58">
        <v>32</v>
      </c>
      <c r="BC58">
        <v>2.09</v>
      </c>
      <c r="BD58">
        <v>1.98</v>
      </c>
      <c r="BE58">
        <v>1.92</v>
      </c>
      <c r="BF58">
        <v>1.82</v>
      </c>
      <c r="BG58">
        <v>17</v>
      </c>
      <c r="BH58">
        <v>0.5</v>
      </c>
      <c r="BI58">
        <v>1.98</v>
      </c>
      <c r="BJ58">
        <v>1.93</v>
      </c>
      <c r="BK58">
        <v>1.98</v>
      </c>
      <c r="BL58">
        <v>1.93</v>
      </c>
      <c r="BM58">
        <v>3.76</v>
      </c>
      <c r="BN58">
        <v>3.43</v>
      </c>
      <c r="BO58">
        <v>2.16</v>
      </c>
    </row>
    <row r="59" spans="1:67">
      <c r="A59" t="s">
        <v>63</v>
      </c>
      <c r="B59" s="77">
        <v>41546</v>
      </c>
      <c r="C59" t="s">
        <v>83</v>
      </c>
      <c r="D59" t="s">
        <v>65</v>
      </c>
      <c r="E59">
        <v>0</v>
      </c>
      <c r="F59">
        <v>1</v>
      </c>
      <c r="G59" t="s">
        <v>66</v>
      </c>
      <c r="H59">
        <v>0</v>
      </c>
      <c r="I59">
        <v>0</v>
      </c>
      <c r="J59" t="s">
        <v>67</v>
      </c>
      <c r="K59">
        <v>6</v>
      </c>
      <c r="L59">
        <v>17</v>
      </c>
      <c r="M59">
        <v>0</v>
      </c>
      <c r="N59">
        <v>6</v>
      </c>
      <c r="O59">
        <v>12</v>
      </c>
      <c r="P59">
        <v>16</v>
      </c>
      <c r="Q59">
        <v>2</v>
      </c>
      <c r="R59">
        <v>8</v>
      </c>
      <c r="S59">
        <v>3</v>
      </c>
      <c r="T59">
        <v>3</v>
      </c>
      <c r="U59">
        <v>0</v>
      </c>
      <c r="V59">
        <v>0</v>
      </c>
      <c r="W59">
        <v>6.5</v>
      </c>
      <c r="X59">
        <v>4.0999999999999996</v>
      </c>
      <c r="Y59">
        <v>1.5</v>
      </c>
      <c r="Z59">
        <v>6.75</v>
      </c>
      <c r="AA59">
        <v>4</v>
      </c>
      <c r="AB59">
        <v>1.5</v>
      </c>
      <c r="AC59">
        <v>5.6</v>
      </c>
      <c r="AD59">
        <v>3.9</v>
      </c>
      <c r="AE59">
        <v>1.55</v>
      </c>
      <c r="AF59">
        <v>6</v>
      </c>
      <c r="AG59">
        <v>4</v>
      </c>
      <c r="AH59">
        <v>1.53</v>
      </c>
      <c r="AI59">
        <v>7.3</v>
      </c>
      <c r="AJ59">
        <v>4.1500000000000004</v>
      </c>
      <c r="AK59">
        <v>1.56</v>
      </c>
      <c r="AL59">
        <v>6.5</v>
      </c>
      <c r="AM59">
        <v>3.4</v>
      </c>
      <c r="AN59">
        <v>1.62</v>
      </c>
      <c r="AO59">
        <v>6.25</v>
      </c>
      <c r="AP59">
        <v>3.8</v>
      </c>
      <c r="AQ59">
        <v>1.53</v>
      </c>
      <c r="AR59">
        <v>7</v>
      </c>
      <c r="AS59">
        <v>4.0999999999999996</v>
      </c>
      <c r="AT59">
        <v>1.55</v>
      </c>
      <c r="AU59">
        <v>35</v>
      </c>
      <c r="AV59">
        <v>7.3</v>
      </c>
      <c r="AW59">
        <v>6.48</v>
      </c>
      <c r="AX59">
        <v>4.1500000000000004</v>
      </c>
      <c r="AY59">
        <v>3.9</v>
      </c>
      <c r="AZ59">
        <v>1.62</v>
      </c>
      <c r="BA59">
        <v>1.54</v>
      </c>
      <c r="BB59">
        <v>32</v>
      </c>
      <c r="BC59">
        <v>2</v>
      </c>
      <c r="BD59">
        <v>1.93</v>
      </c>
      <c r="BE59">
        <v>2</v>
      </c>
      <c r="BF59">
        <v>1.87</v>
      </c>
      <c r="BG59">
        <v>20</v>
      </c>
      <c r="BH59">
        <v>1</v>
      </c>
      <c r="BI59">
        <v>1.94</v>
      </c>
      <c r="BJ59">
        <v>1.9</v>
      </c>
      <c r="BK59">
        <v>2.02</v>
      </c>
      <c r="BL59">
        <v>1.96</v>
      </c>
      <c r="BM59">
        <v>8.93</v>
      </c>
      <c r="BN59">
        <v>4.1399999999999997</v>
      </c>
      <c r="BO59">
        <v>1.5</v>
      </c>
    </row>
    <row r="60" spans="1:67">
      <c r="A60" t="s">
        <v>63</v>
      </c>
      <c r="B60" s="77">
        <v>41546</v>
      </c>
      <c r="C60" t="s">
        <v>68</v>
      </c>
      <c r="D60" t="s">
        <v>77</v>
      </c>
      <c r="E60">
        <v>2</v>
      </c>
      <c r="F60">
        <v>1</v>
      </c>
      <c r="G60" t="s">
        <v>70</v>
      </c>
      <c r="H60">
        <v>1</v>
      </c>
      <c r="I60">
        <v>1</v>
      </c>
      <c r="J60" t="s">
        <v>67</v>
      </c>
      <c r="K60">
        <v>16</v>
      </c>
      <c r="L60">
        <v>19</v>
      </c>
      <c r="M60">
        <v>5</v>
      </c>
      <c r="N60">
        <v>8</v>
      </c>
      <c r="O60">
        <v>15</v>
      </c>
      <c r="P60">
        <v>8</v>
      </c>
      <c r="Q60">
        <v>5</v>
      </c>
      <c r="R60">
        <v>5</v>
      </c>
      <c r="S60">
        <v>3</v>
      </c>
      <c r="T60">
        <v>2</v>
      </c>
      <c r="U60">
        <v>0</v>
      </c>
      <c r="V60">
        <v>0</v>
      </c>
      <c r="W60">
        <v>1.91</v>
      </c>
      <c r="X60">
        <v>3.3</v>
      </c>
      <c r="Y60">
        <v>4.2</v>
      </c>
      <c r="Z60">
        <v>1.91</v>
      </c>
      <c r="AA60">
        <v>3.4</v>
      </c>
      <c r="AB60">
        <v>4</v>
      </c>
      <c r="AC60">
        <v>1.95</v>
      </c>
      <c r="AD60">
        <v>3.3</v>
      </c>
      <c r="AE60">
        <v>3.75</v>
      </c>
      <c r="AF60">
        <v>2</v>
      </c>
      <c r="AG60">
        <v>3.3</v>
      </c>
      <c r="AH60">
        <v>3.8</v>
      </c>
      <c r="AI60">
        <v>2.02</v>
      </c>
      <c r="AJ60">
        <v>3.43</v>
      </c>
      <c r="AK60">
        <v>4.26</v>
      </c>
      <c r="AL60">
        <v>2</v>
      </c>
      <c r="AM60">
        <v>3.2</v>
      </c>
      <c r="AN60">
        <v>4</v>
      </c>
      <c r="AO60">
        <v>1.91</v>
      </c>
      <c r="AP60">
        <v>3.3</v>
      </c>
      <c r="AQ60">
        <v>3.8</v>
      </c>
      <c r="AR60">
        <v>2.0499999999999998</v>
      </c>
      <c r="AS60">
        <v>3.4</v>
      </c>
      <c r="AT60">
        <v>4.0999999999999996</v>
      </c>
      <c r="AU60">
        <v>35</v>
      </c>
      <c r="AV60">
        <v>2.0499999999999998</v>
      </c>
      <c r="AW60">
        <v>1.97</v>
      </c>
      <c r="AX60">
        <v>3.7</v>
      </c>
      <c r="AY60">
        <v>3.33</v>
      </c>
      <c r="AZ60">
        <v>4.26</v>
      </c>
      <c r="BA60">
        <v>3.94</v>
      </c>
      <c r="BB60">
        <v>32</v>
      </c>
      <c r="BC60">
        <v>2.25</v>
      </c>
      <c r="BD60">
        <v>2.15</v>
      </c>
      <c r="BE60">
        <v>1.8</v>
      </c>
      <c r="BF60">
        <v>1.69</v>
      </c>
      <c r="BG60">
        <v>17</v>
      </c>
      <c r="BH60">
        <v>-0.5</v>
      </c>
      <c r="BI60">
        <v>2.04</v>
      </c>
      <c r="BJ60">
        <v>2</v>
      </c>
      <c r="BK60">
        <v>1.92</v>
      </c>
      <c r="BL60">
        <v>1.87</v>
      </c>
      <c r="BM60">
        <v>1.98</v>
      </c>
      <c r="BN60">
        <v>3.64</v>
      </c>
      <c r="BO60">
        <v>4.17</v>
      </c>
    </row>
    <row r="61" spans="1:67">
      <c r="A61" t="s">
        <v>63</v>
      </c>
      <c r="B61" s="77">
        <v>41547</v>
      </c>
      <c r="C61" t="s">
        <v>85</v>
      </c>
      <c r="D61" t="s">
        <v>81</v>
      </c>
      <c r="E61">
        <v>2</v>
      </c>
      <c r="F61">
        <v>2</v>
      </c>
      <c r="G61" t="s">
        <v>67</v>
      </c>
      <c r="H61">
        <v>0</v>
      </c>
      <c r="I61">
        <v>1</v>
      </c>
      <c r="J61" t="s">
        <v>66</v>
      </c>
      <c r="K61">
        <v>11</v>
      </c>
      <c r="L61">
        <v>7</v>
      </c>
      <c r="M61">
        <v>3</v>
      </c>
      <c r="N61">
        <v>5</v>
      </c>
      <c r="O61">
        <v>10</v>
      </c>
      <c r="P61">
        <v>20</v>
      </c>
      <c r="Q61">
        <v>6</v>
      </c>
      <c r="R61">
        <v>5</v>
      </c>
      <c r="S61">
        <v>3</v>
      </c>
      <c r="T61">
        <v>2</v>
      </c>
      <c r="U61">
        <v>0</v>
      </c>
      <c r="V61">
        <v>0</v>
      </c>
      <c r="W61">
        <v>1.57</v>
      </c>
      <c r="X61">
        <v>3.8</v>
      </c>
      <c r="Y61">
        <v>6</v>
      </c>
      <c r="Z61">
        <v>1.53</v>
      </c>
      <c r="AA61">
        <v>3.9</v>
      </c>
      <c r="AB61">
        <v>6.5</v>
      </c>
      <c r="AC61">
        <v>1.55</v>
      </c>
      <c r="AD61">
        <v>3.9</v>
      </c>
      <c r="AE61">
        <v>5.6</v>
      </c>
      <c r="AF61">
        <v>1.57</v>
      </c>
      <c r="AG61">
        <v>3.8</v>
      </c>
      <c r="AH61">
        <v>6</v>
      </c>
      <c r="AI61">
        <v>1.62</v>
      </c>
      <c r="AJ61">
        <v>4.08</v>
      </c>
      <c r="AK61">
        <v>6.28</v>
      </c>
      <c r="AL61">
        <v>1.6</v>
      </c>
      <c r="AM61">
        <v>3.6</v>
      </c>
      <c r="AN61">
        <v>6</v>
      </c>
      <c r="AO61">
        <v>1.57</v>
      </c>
      <c r="AP61">
        <v>3.8</v>
      </c>
      <c r="AQ61">
        <v>5.5</v>
      </c>
      <c r="AR61">
        <v>1.62</v>
      </c>
      <c r="AS61">
        <v>4</v>
      </c>
      <c r="AT61">
        <v>5.75</v>
      </c>
      <c r="AU61">
        <v>32</v>
      </c>
      <c r="AV61">
        <v>1.63</v>
      </c>
      <c r="AW61">
        <v>1.57</v>
      </c>
      <c r="AX61">
        <v>4.2</v>
      </c>
      <c r="AY61">
        <v>3.87</v>
      </c>
      <c r="AZ61">
        <v>6.75</v>
      </c>
      <c r="BA61">
        <v>5.91</v>
      </c>
      <c r="BB61">
        <v>29</v>
      </c>
      <c r="BC61">
        <v>1.87</v>
      </c>
      <c r="BD61">
        <v>1.79</v>
      </c>
      <c r="BE61">
        <v>2.1</v>
      </c>
      <c r="BF61">
        <v>2.0099999999999998</v>
      </c>
      <c r="BG61">
        <v>18</v>
      </c>
      <c r="BH61">
        <v>-1</v>
      </c>
      <c r="BI61">
        <v>2.15</v>
      </c>
      <c r="BJ61">
        <v>2.04</v>
      </c>
      <c r="BK61">
        <v>1.94</v>
      </c>
      <c r="BL61">
        <v>1.83</v>
      </c>
      <c r="BM61">
        <v>1.71</v>
      </c>
      <c r="BN61">
        <v>3.69</v>
      </c>
      <c r="BO61">
        <v>5.12</v>
      </c>
    </row>
    <row r="62" spans="1:67">
      <c r="A62" t="s">
        <v>63</v>
      </c>
      <c r="B62" s="77">
        <v>41552</v>
      </c>
      <c r="C62" t="s">
        <v>82</v>
      </c>
      <c r="D62" t="s">
        <v>72</v>
      </c>
      <c r="E62">
        <v>0</v>
      </c>
      <c r="F62">
        <v>1</v>
      </c>
      <c r="G62" t="s">
        <v>66</v>
      </c>
      <c r="H62">
        <v>0</v>
      </c>
      <c r="I62">
        <v>1</v>
      </c>
      <c r="J62" t="s">
        <v>66</v>
      </c>
      <c r="K62">
        <v>20</v>
      </c>
      <c r="L62">
        <v>8</v>
      </c>
      <c r="M62">
        <v>3</v>
      </c>
      <c r="N62">
        <v>2</v>
      </c>
      <c r="O62">
        <v>12</v>
      </c>
      <c r="P62">
        <v>10</v>
      </c>
      <c r="Q62">
        <v>11</v>
      </c>
      <c r="R62">
        <v>5</v>
      </c>
      <c r="S62">
        <v>2</v>
      </c>
      <c r="T62">
        <v>1</v>
      </c>
      <c r="U62">
        <v>0</v>
      </c>
      <c r="V62">
        <v>0</v>
      </c>
      <c r="W62">
        <v>2.2000000000000002</v>
      </c>
      <c r="X62">
        <v>3.2</v>
      </c>
      <c r="Y62">
        <v>3.4</v>
      </c>
      <c r="Z62">
        <v>2.2000000000000002</v>
      </c>
      <c r="AA62">
        <v>3.1</v>
      </c>
      <c r="AB62">
        <v>3.5</v>
      </c>
      <c r="AC62">
        <v>2.1</v>
      </c>
      <c r="AD62">
        <v>3.2</v>
      </c>
      <c r="AE62">
        <v>3.4</v>
      </c>
      <c r="AF62">
        <v>2.25</v>
      </c>
      <c r="AG62">
        <v>3.2</v>
      </c>
      <c r="AH62">
        <v>3.25</v>
      </c>
      <c r="AI62">
        <v>2.2999999999999998</v>
      </c>
      <c r="AJ62">
        <v>3.23</v>
      </c>
      <c r="AK62">
        <v>3.62</v>
      </c>
      <c r="AL62">
        <v>2.2999999999999998</v>
      </c>
      <c r="AM62">
        <v>3.1</v>
      </c>
      <c r="AN62">
        <v>3.3</v>
      </c>
      <c r="AO62">
        <v>2.2000000000000002</v>
      </c>
      <c r="AP62">
        <v>3.13</v>
      </c>
      <c r="AQ62">
        <v>3.25</v>
      </c>
      <c r="AR62">
        <v>2.2999999999999998</v>
      </c>
      <c r="AS62">
        <v>3.2</v>
      </c>
      <c r="AT62">
        <v>3.5</v>
      </c>
      <c r="AU62">
        <v>34</v>
      </c>
      <c r="AV62">
        <v>2.3199999999999998</v>
      </c>
      <c r="AW62">
        <v>2.2400000000000002</v>
      </c>
      <c r="AX62">
        <v>3.25</v>
      </c>
      <c r="AY62">
        <v>3.12</v>
      </c>
      <c r="AZ62">
        <v>3.65</v>
      </c>
      <c r="BA62">
        <v>3.31</v>
      </c>
      <c r="BB62">
        <v>32</v>
      </c>
      <c r="BC62">
        <v>2.38</v>
      </c>
      <c r="BD62">
        <v>2.2400000000000002</v>
      </c>
      <c r="BE62">
        <v>1.75</v>
      </c>
      <c r="BF62">
        <v>1.63</v>
      </c>
      <c r="BG62">
        <v>16</v>
      </c>
      <c r="BH62">
        <v>-0.25</v>
      </c>
      <c r="BI62">
        <v>1.96</v>
      </c>
      <c r="BJ62">
        <v>1.93</v>
      </c>
      <c r="BK62">
        <v>1.99</v>
      </c>
      <c r="BL62">
        <v>1.94</v>
      </c>
      <c r="BM62">
        <v>2.2200000000000002</v>
      </c>
      <c r="BN62">
        <v>3.17</v>
      </c>
      <c r="BO62">
        <v>3.85</v>
      </c>
    </row>
    <row r="63" spans="1:67">
      <c r="A63" t="s">
        <v>63</v>
      </c>
      <c r="B63" s="77">
        <v>41552</v>
      </c>
      <c r="C63" t="s">
        <v>73</v>
      </c>
      <c r="D63" t="s">
        <v>78</v>
      </c>
      <c r="E63">
        <v>0</v>
      </c>
      <c r="F63">
        <v>3</v>
      </c>
      <c r="G63" t="s">
        <v>66</v>
      </c>
      <c r="H63">
        <v>0</v>
      </c>
      <c r="I63">
        <v>3</v>
      </c>
      <c r="J63" t="s">
        <v>66</v>
      </c>
      <c r="K63">
        <v>18</v>
      </c>
      <c r="L63">
        <v>9</v>
      </c>
      <c r="M63">
        <v>3</v>
      </c>
      <c r="N63">
        <v>5</v>
      </c>
      <c r="O63">
        <v>15</v>
      </c>
      <c r="P63">
        <v>22</v>
      </c>
      <c r="Q63">
        <v>10</v>
      </c>
      <c r="R63">
        <v>2</v>
      </c>
      <c r="S63">
        <v>2</v>
      </c>
      <c r="T63">
        <v>5</v>
      </c>
      <c r="U63">
        <v>0</v>
      </c>
      <c r="V63">
        <v>1</v>
      </c>
      <c r="W63">
        <v>2.25</v>
      </c>
      <c r="X63">
        <v>3.5</v>
      </c>
      <c r="Y63">
        <v>3</v>
      </c>
      <c r="Z63">
        <v>2.25</v>
      </c>
      <c r="AA63">
        <v>3.5</v>
      </c>
      <c r="AB63">
        <v>3</v>
      </c>
      <c r="AC63">
        <v>2.2999999999999998</v>
      </c>
      <c r="AD63">
        <v>3.3</v>
      </c>
      <c r="AE63">
        <v>2.9</v>
      </c>
      <c r="AF63">
        <v>2.2999999999999998</v>
      </c>
      <c r="AG63">
        <v>3.4</v>
      </c>
      <c r="AH63">
        <v>3</v>
      </c>
      <c r="AI63">
        <v>2.38</v>
      </c>
      <c r="AJ63">
        <v>3.53</v>
      </c>
      <c r="AK63">
        <v>3.16</v>
      </c>
      <c r="AL63">
        <v>2.4</v>
      </c>
      <c r="AM63">
        <v>3.1</v>
      </c>
      <c r="AN63">
        <v>3.1</v>
      </c>
      <c r="AO63">
        <v>2.25</v>
      </c>
      <c r="AP63">
        <v>3.3</v>
      </c>
      <c r="AQ63">
        <v>3</v>
      </c>
      <c r="AR63">
        <v>2.38</v>
      </c>
      <c r="AS63">
        <v>3.5</v>
      </c>
      <c r="AT63">
        <v>3.12</v>
      </c>
      <c r="AU63">
        <v>36</v>
      </c>
      <c r="AV63">
        <v>2.4</v>
      </c>
      <c r="AW63">
        <v>2.2999999999999998</v>
      </c>
      <c r="AX63">
        <v>3.54</v>
      </c>
      <c r="AY63">
        <v>3.33</v>
      </c>
      <c r="AZ63">
        <v>3.24</v>
      </c>
      <c r="BA63">
        <v>3.05</v>
      </c>
      <c r="BB63">
        <v>35</v>
      </c>
      <c r="BC63">
        <v>1.78</v>
      </c>
      <c r="BD63">
        <v>1.71</v>
      </c>
      <c r="BE63">
        <v>2.2599999999999998</v>
      </c>
      <c r="BF63">
        <v>2.11</v>
      </c>
      <c r="BG63">
        <v>19</v>
      </c>
      <c r="BH63">
        <v>-0.25</v>
      </c>
      <c r="BI63">
        <v>2.0299999999999998</v>
      </c>
      <c r="BJ63">
        <v>1.99</v>
      </c>
      <c r="BK63">
        <v>1.92</v>
      </c>
      <c r="BL63">
        <v>1.88</v>
      </c>
      <c r="BM63">
        <v>2.5</v>
      </c>
      <c r="BN63">
        <v>3.18</v>
      </c>
      <c r="BO63">
        <v>3.27</v>
      </c>
    </row>
    <row r="64" spans="1:67">
      <c r="A64" t="s">
        <v>63</v>
      </c>
      <c r="B64" s="77">
        <v>41553</v>
      </c>
      <c r="C64" t="s">
        <v>80</v>
      </c>
      <c r="D64" t="s">
        <v>68</v>
      </c>
      <c r="E64">
        <v>1</v>
      </c>
      <c r="F64">
        <v>4</v>
      </c>
      <c r="G64" t="s">
        <v>66</v>
      </c>
      <c r="H64">
        <v>0</v>
      </c>
      <c r="I64">
        <v>2</v>
      </c>
      <c r="J64" t="s">
        <v>66</v>
      </c>
      <c r="K64">
        <v>24</v>
      </c>
      <c r="L64">
        <v>13</v>
      </c>
      <c r="M64">
        <v>8</v>
      </c>
      <c r="N64">
        <v>5</v>
      </c>
      <c r="O64">
        <v>12</v>
      </c>
      <c r="P64">
        <v>9</v>
      </c>
      <c r="Q64">
        <v>6</v>
      </c>
      <c r="R64">
        <v>5</v>
      </c>
      <c r="S64">
        <v>2</v>
      </c>
      <c r="T64">
        <v>2</v>
      </c>
      <c r="U64">
        <v>0</v>
      </c>
      <c r="V64">
        <v>0</v>
      </c>
      <c r="W64">
        <v>2.1</v>
      </c>
      <c r="X64">
        <v>3.3</v>
      </c>
      <c r="Y64">
        <v>3.5</v>
      </c>
      <c r="Z64">
        <v>2.15</v>
      </c>
      <c r="AA64">
        <v>3.25</v>
      </c>
      <c r="AB64">
        <v>3.4</v>
      </c>
      <c r="AC64">
        <v>2.1</v>
      </c>
      <c r="AD64">
        <v>3.25</v>
      </c>
      <c r="AE64">
        <v>3.35</v>
      </c>
      <c r="AF64">
        <v>2.2000000000000002</v>
      </c>
      <c r="AG64">
        <v>3.3</v>
      </c>
      <c r="AH64">
        <v>3.3</v>
      </c>
      <c r="AI64">
        <v>2.19</v>
      </c>
      <c r="AJ64">
        <v>3.45</v>
      </c>
      <c r="AK64">
        <v>3.65</v>
      </c>
      <c r="AL64">
        <v>2.25</v>
      </c>
      <c r="AM64">
        <v>3.2</v>
      </c>
      <c r="AN64">
        <v>3.3</v>
      </c>
      <c r="AO64">
        <v>2.1</v>
      </c>
      <c r="AP64">
        <v>3.25</v>
      </c>
      <c r="AQ64">
        <v>3.4</v>
      </c>
      <c r="AR64">
        <v>2.2000000000000002</v>
      </c>
      <c r="AS64">
        <v>3.4</v>
      </c>
      <c r="AT64">
        <v>3.6</v>
      </c>
      <c r="AU64">
        <v>36</v>
      </c>
      <c r="AV64">
        <v>2.25</v>
      </c>
      <c r="AW64">
        <v>2.15</v>
      </c>
      <c r="AX64">
        <v>3.45</v>
      </c>
      <c r="AY64">
        <v>3.25</v>
      </c>
      <c r="AZ64">
        <v>3.72</v>
      </c>
      <c r="BA64">
        <v>3.42</v>
      </c>
      <c r="BB64">
        <v>34</v>
      </c>
      <c r="BC64">
        <v>2.19</v>
      </c>
      <c r="BD64">
        <v>2.09</v>
      </c>
      <c r="BE64">
        <v>1.85</v>
      </c>
      <c r="BF64">
        <v>1.73</v>
      </c>
      <c r="BG64">
        <v>19</v>
      </c>
      <c r="BH64">
        <v>-0.5</v>
      </c>
      <c r="BI64">
        <v>2.23</v>
      </c>
      <c r="BJ64">
        <v>2.16</v>
      </c>
      <c r="BK64">
        <v>1.78</v>
      </c>
      <c r="BL64">
        <v>1.73</v>
      </c>
      <c r="BM64">
        <v>2.5099999999999998</v>
      </c>
      <c r="BN64">
        <v>3.47</v>
      </c>
      <c r="BO64">
        <v>3</v>
      </c>
    </row>
    <row r="65" spans="1:67">
      <c r="A65" t="s">
        <v>63</v>
      </c>
      <c r="B65" s="77">
        <v>41553</v>
      </c>
      <c r="C65" t="s">
        <v>86</v>
      </c>
      <c r="D65" t="s">
        <v>74</v>
      </c>
      <c r="E65">
        <v>1</v>
      </c>
      <c r="F65">
        <v>1</v>
      </c>
      <c r="G65" t="s">
        <v>67</v>
      </c>
      <c r="H65">
        <v>0</v>
      </c>
      <c r="I65">
        <v>0</v>
      </c>
      <c r="J65" t="s">
        <v>67</v>
      </c>
      <c r="K65">
        <v>14</v>
      </c>
      <c r="L65">
        <v>8</v>
      </c>
      <c r="M65">
        <v>4</v>
      </c>
      <c r="N65">
        <v>3</v>
      </c>
      <c r="O65">
        <v>22</v>
      </c>
      <c r="P65">
        <v>15</v>
      </c>
      <c r="Q65">
        <v>3</v>
      </c>
      <c r="R65">
        <v>4</v>
      </c>
      <c r="S65">
        <v>3</v>
      </c>
      <c r="T65">
        <v>3</v>
      </c>
      <c r="U65">
        <v>0</v>
      </c>
      <c r="V65">
        <v>0</v>
      </c>
      <c r="W65">
        <v>2.1</v>
      </c>
      <c r="X65">
        <v>3.4</v>
      </c>
      <c r="Y65">
        <v>3.4</v>
      </c>
      <c r="Z65">
        <v>2.0499999999999998</v>
      </c>
      <c r="AA65">
        <v>3.4</v>
      </c>
      <c r="AB65">
        <v>3.5</v>
      </c>
      <c r="AC65">
        <v>2.0499999999999998</v>
      </c>
      <c r="AD65">
        <v>3.2</v>
      </c>
      <c r="AE65">
        <v>3.6</v>
      </c>
      <c r="AF65">
        <v>2.25</v>
      </c>
      <c r="AG65">
        <v>3.25</v>
      </c>
      <c r="AH65">
        <v>3.2</v>
      </c>
      <c r="AI65">
        <v>2.2200000000000002</v>
      </c>
      <c r="AJ65">
        <v>3.32</v>
      </c>
      <c r="AK65">
        <v>3.73</v>
      </c>
      <c r="AL65">
        <v>2.25</v>
      </c>
      <c r="AM65">
        <v>3.2</v>
      </c>
      <c r="AN65">
        <v>3.3</v>
      </c>
      <c r="AO65">
        <v>2.1</v>
      </c>
      <c r="AP65">
        <v>3.2</v>
      </c>
      <c r="AQ65">
        <v>3.4</v>
      </c>
      <c r="AR65">
        <v>2.2000000000000002</v>
      </c>
      <c r="AS65">
        <v>3.4</v>
      </c>
      <c r="AT65">
        <v>3.6</v>
      </c>
      <c r="AU65">
        <v>36</v>
      </c>
      <c r="AV65">
        <v>2.25</v>
      </c>
      <c r="AW65">
        <v>2.15</v>
      </c>
      <c r="AX65">
        <v>3.4</v>
      </c>
      <c r="AY65">
        <v>3.24</v>
      </c>
      <c r="AZ65">
        <v>3.73</v>
      </c>
      <c r="BA65">
        <v>3.44</v>
      </c>
      <c r="BB65">
        <v>34</v>
      </c>
      <c r="BC65">
        <v>2.1800000000000002</v>
      </c>
      <c r="BD65">
        <v>2.08</v>
      </c>
      <c r="BE65">
        <v>1.85</v>
      </c>
      <c r="BF65">
        <v>1.74</v>
      </c>
      <c r="BG65">
        <v>18</v>
      </c>
      <c r="BH65">
        <v>-0.5</v>
      </c>
      <c r="BI65">
        <v>2.2200000000000002</v>
      </c>
      <c r="BJ65">
        <v>2.16</v>
      </c>
      <c r="BK65">
        <v>1.78</v>
      </c>
      <c r="BL65">
        <v>1.73</v>
      </c>
      <c r="BM65">
        <v>2.0699999999999998</v>
      </c>
      <c r="BN65">
        <v>3.49</v>
      </c>
      <c r="BO65">
        <v>3.98</v>
      </c>
    </row>
    <row r="66" spans="1:67">
      <c r="A66" t="s">
        <v>63</v>
      </c>
      <c r="B66" s="77">
        <v>41553</v>
      </c>
      <c r="C66" t="s">
        <v>65</v>
      </c>
      <c r="D66" t="s">
        <v>69</v>
      </c>
      <c r="E66">
        <v>3</v>
      </c>
      <c r="F66">
        <v>2</v>
      </c>
      <c r="G66" t="s">
        <v>70</v>
      </c>
      <c r="H66">
        <v>1</v>
      </c>
      <c r="I66">
        <v>1</v>
      </c>
      <c r="J66" t="s">
        <v>67</v>
      </c>
      <c r="K66">
        <v>20</v>
      </c>
      <c r="L66">
        <v>8</v>
      </c>
      <c r="M66">
        <v>6</v>
      </c>
      <c r="N66">
        <v>5</v>
      </c>
      <c r="O66">
        <v>12</v>
      </c>
      <c r="P66">
        <v>13</v>
      </c>
      <c r="Q66">
        <v>9</v>
      </c>
      <c r="R66">
        <v>5</v>
      </c>
      <c r="S66">
        <v>1</v>
      </c>
      <c r="T66">
        <v>3</v>
      </c>
      <c r="U66">
        <v>0</v>
      </c>
      <c r="V66">
        <v>1</v>
      </c>
      <c r="W66">
        <v>1.57</v>
      </c>
      <c r="X66">
        <v>4</v>
      </c>
      <c r="Y66">
        <v>5.5</v>
      </c>
      <c r="Z66">
        <v>1.6</v>
      </c>
      <c r="AA66">
        <v>4</v>
      </c>
      <c r="AB66">
        <v>5.25</v>
      </c>
      <c r="AC66">
        <v>1.65</v>
      </c>
      <c r="AD66">
        <v>3.6</v>
      </c>
      <c r="AE66">
        <v>5.0999999999999996</v>
      </c>
      <c r="AF66">
        <v>1.61</v>
      </c>
      <c r="AG66">
        <v>3.75</v>
      </c>
      <c r="AH66">
        <v>5.5</v>
      </c>
      <c r="AI66">
        <v>1.58</v>
      </c>
      <c r="AJ66">
        <v>4.2</v>
      </c>
      <c r="AK66">
        <v>6.64</v>
      </c>
      <c r="AL66">
        <v>1.62</v>
      </c>
      <c r="AM66">
        <v>3.6</v>
      </c>
      <c r="AN66">
        <v>6</v>
      </c>
      <c r="AO66">
        <v>1.53</v>
      </c>
      <c r="AP66">
        <v>3.8</v>
      </c>
      <c r="AQ66">
        <v>6</v>
      </c>
      <c r="AR66">
        <v>1.57</v>
      </c>
      <c r="AS66">
        <v>4.2</v>
      </c>
      <c r="AT66">
        <v>6.5</v>
      </c>
      <c r="AU66">
        <v>35</v>
      </c>
      <c r="AV66">
        <v>1.65</v>
      </c>
      <c r="AW66">
        <v>1.57</v>
      </c>
      <c r="AX66">
        <v>4.3</v>
      </c>
      <c r="AY66">
        <v>3.93</v>
      </c>
      <c r="AZ66">
        <v>6.8</v>
      </c>
      <c r="BA66">
        <v>5.89</v>
      </c>
      <c r="BB66">
        <v>33</v>
      </c>
      <c r="BC66">
        <v>1.84</v>
      </c>
      <c r="BD66">
        <v>1.76</v>
      </c>
      <c r="BE66">
        <v>2.2000000000000002</v>
      </c>
      <c r="BF66">
        <v>2.0499999999999998</v>
      </c>
      <c r="BG66">
        <v>20</v>
      </c>
      <c r="BH66">
        <v>-1</v>
      </c>
      <c r="BI66">
        <v>2.13</v>
      </c>
      <c r="BJ66">
        <v>1.97</v>
      </c>
      <c r="BK66">
        <v>1.98</v>
      </c>
      <c r="BL66">
        <v>1.9</v>
      </c>
      <c r="BM66">
        <v>1.61</v>
      </c>
      <c r="BN66">
        <v>4.03</v>
      </c>
      <c r="BO66">
        <v>6.69</v>
      </c>
    </row>
    <row r="67" spans="1:67">
      <c r="A67" t="s">
        <v>63</v>
      </c>
      <c r="B67" s="77">
        <v>41553</v>
      </c>
      <c r="C67" t="s">
        <v>75</v>
      </c>
      <c r="D67" t="s">
        <v>85</v>
      </c>
      <c r="E67">
        <v>0</v>
      </c>
      <c r="F67">
        <v>0</v>
      </c>
      <c r="G67" t="s">
        <v>67</v>
      </c>
      <c r="H67">
        <v>0</v>
      </c>
      <c r="I67">
        <v>0</v>
      </c>
      <c r="J67" t="s">
        <v>67</v>
      </c>
      <c r="K67">
        <v>20</v>
      </c>
      <c r="L67">
        <v>3</v>
      </c>
      <c r="M67">
        <v>4</v>
      </c>
      <c r="N67">
        <v>0</v>
      </c>
      <c r="O67">
        <v>15</v>
      </c>
      <c r="P67">
        <v>17</v>
      </c>
      <c r="Q67">
        <v>6</v>
      </c>
      <c r="R67">
        <v>1</v>
      </c>
      <c r="S67">
        <v>4</v>
      </c>
      <c r="T67">
        <v>4</v>
      </c>
      <c r="U67">
        <v>0</v>
      </c>
      <c r="V67">
        <v>0</v>
      </c>
      <c r="W67">
        <v>2.25</v>
      </c>
      <c r="X67">
        <v>3.4</v>
      </c>
      <c r="Y67">
        <v>3.1</v>
      </c>
      <c r="Z67">
        <v>2.25</v>
      </c>
      <c r="AA67">
        <v>3.3</v>
      </c>
      <c r="AB67">
        <v>3.1</v>
      </c>
      <c r="AC67">
        <v>2.25</v>
      </c>
      <c r="AD67">
        <v>3.3</v>
      </c>
      <c r="AE67">
        <v>3</v>
      </c>
      <c r="AF67">
        <v>2.37</v>
      </c>
      <c r="AG67">
        <v>3.2</v>
      </c>
      <c r="AH67">
        <v>3</v>
      </c>
      <c r="AI67">
        <v>2.4300000000000002</v>
      </c>
      <c r="AJ67">
        <v>3.4</v>
      </c>
      <c r="AK67">
        <v>3.18</v>
      </c>
      <c r="AL67">
        <v>2.4</v>
      </c>
      <c r="AM67">
        <v>3.1</v>
      </c>
      <c r="AN67">
        <v>3.1</v>
      </c>
      <c r="AO67">
        <v>2.2999999999999998</v>
      </c>
      <c r="AP67">
        <v>3.25</v>
      </c>
      <c r="AQ67">
        <v>3</v>
      </c>
      <c r="AR67">
        <v>2.4500000000000002</v>
      </c>
      <c r="AS67">
        <v>3.4</v>
      </c>
      <c r="AT67">
        <v>3.12</v>
      </c>
      <c r="AU67">
        <v>35</v>
      </c>
      <c r="AV67">
        <v>2.4500000000000002</v>
      </c>
      <c r="AW67">
        <v>2.35</v>
      </c>
      <c r="AX67">
        <v>3.4</v>
      </c>
      <c r="AY67">
        <v>3.25</v>
      </c>
      <c r="AZ67">
        <v>3.25</v>
      </c>
      <c r="BA67">
        <v>3.03</v>
      </c>
      <c r="BB67">
        <v>33</v>
      </c>
      <c r="BC67">
        <v>2.04</v>
      </c>
      <c r="BD67">
        <v>1.95</v>
      </c>
      <c r="BE67">
        <v>1.93</v>
      </c>
      <c r="BF67">
        <v>1.86</v>
      </c>
      <c r="BG67">
        <v>17</v>
      </c>
      <c r="BH67">
        <v>-0.25</v>
      </c>
      <c r="BI67">
        <v>2.08</v>
      </c>
      <c r="BJ67">
        <v>2.04</v>
      </c>
      <c r="BK67">
        <v>1.86</v>
      </c>
      <c r="BL67">
        <v>1.84</v>
      </c>
      <c r="BM67">
        <v>2.61</v>
      </c>
      <c r="BN67">
        <v>3.32</v>
      </c>
      <c r="BO67">
        <v>2.99</v>
      </c>
    </row>
    <row r="68" spans="1:67">
      <c r="A68" t="s">
        <v>63</v>
      </c>
      <c r="B68" s="77">
        <v>41553</v>
      </c>
      <c r="C68" t="s">
        <v>79</v>
      </c>
      <c r="D68" t="s">
        <v>77</v>
      </c>
      <c r="E68">
        <v>4</v>
      </c>
      <c r="F68">
        <v>0</v>
      </c>
      <c r="G68" t="s">
        <v>70</v>
      </c>
      <c r="H68">
        <v>2</v>
      </c>
      <c r="I68">
        <v>0</v>
      </c>
      <c r="J68" t="s">
        <v>70</v>
      </c>
      <c r="K68">
        <v>10</v>
      </c>
      <c r="L68">
        <v>10</v>
      </c>
      <c r="M68">
        <v>6</v>
      </c>
      <c r="N68">
        <v>2</v>
      </c>
      <c r="O68">
        <v>19</v>
      </c>
      <c r="P68">
        <v>17</v>
      </c>
      <c r="Q68">
        <v>4</v>
      </c>
      <c r="R68">
        <v>4</v>
      </c>
      <c r="S68">
        <v>0</v>
      </c>
      <c r="T68">
        <v>2</v>
      </c>
      <c r="U68">
        <v>0</v>
      </c>
      <c r="V68">
        <v>0</v>
      </c>
      <c r="W68">
        <v>1.22</v>
      </c>
      <c r="X68">
        <v>5.25</v>
      </c>
      <c r="Y68">
        <v>17</v>
      </c>
      <c r="Z68">
        <v>1.26</v>
      </c>
      <c r="AA68">
        <v>5.5</v>
      </c>
      <c r="AB68">
        <v>11</v>
      </c>
      <c r="AC68">
        <v>1.25</v>
      </c>
      <c r="AD68">
        <v>5.5</v>
      </c>
      <c r="AE68">
        <v>10.3</v>
      </c>
      <c r="AF68">
        <v>1.28</v>
      </c>
      <c r="AG68">
        <v>5.5</v>
      </c>
      <c r="AH68">
        <v>10</v>
      </c>
      <c r="AI68">
        <v>1.26</v>
      </c>
      <c r="AJ68">
        <v>6.24</v>
      </c>
      <c r="AK68">
        <v>14.8</v>
      </c>
      <c r="AL68">
        <v>1.29</v>
      </c>
      <c r="AM68">
        <v>4.5</v>
      </c>
      <c r="AN68">
        <v>15</v>
      </c>
      <c r="AO68">
        <v>1.25</v>
      </c>
      <c r="AP68">
        <v>5.25</v>
      </c>
      <c r="AQ68">
        <v>12</v>
      </c>
      <c r="AR68">
        <v>1.25</v>
      </c>
      <c r="AS68">
        <v>6</v>
      </c>
      <c r="AT68">
        <v>15</v>
      </c>
      <c r="AU68">
        <v>35</v>
      </c>
      <c r="AV68">
        <v>1.29</v>
      </c>
      <c r="AW68">
        <v>1.25</v>
      </c>
      <c r="AX68">
        <v>6.4</v>
      </c>
      <c r="AY68">
        <v>5.58</v>
      </c>
      <c r="AZ68">
        <v>17</v>
      </c>
      <c r="BA68">
        <v>12.55</v>
      </c>
      <c r="BB68">
        <v>31</v>
      </c>
      <c r="BC68">
        <v>1.67</v>
      </c>
      <c r="BD68">
        <v>1.63</v>
      </c>
      <c r="BE68">
        <v>2.44</v>
      </c>
      <c r="BF68">
        <v>2.2400000000000002</v>
      </c>
      <c r="BG68">
        <v>19</v>
      </c>
      <c r="BH68">
        <v>-1.5</v>
      </c>
      <c r="BI68">
        <v>1.81</v>
      </c>
      <c r="BJ68">
        <v>1.76</v>
      </c>
      <c r="BK68">
        <v>2.2599999999999998</v>
      </c>
      <c r="BL68">
        <v>2.12</v>
      </c>
      <c r="BM68">
        <v>1.3</v>
      </c>
      <c r="BN68">
        <v>6.03</v>
      </c>
      <c r="BO68">
        <v>11.75</v>
      </c>
    </row>
    <row r="69" spans="1:67">
      <c r="A69" t="s">
        <v>63</v>
      </c>
      <c r="B69" s="77">
        <v>41553</v>
      </c>
      <c r="C69" t="s">
        <v>81</v>
      </c>
      <c r="D69" t="s">
        <v>84</v>
      </c>
      <c r="E69">
        <v>3</v>
      </c>
      <c r="F69">
        <v>1</v>
      </c>
      <c r="G69" t="s">
        <v>70</v>
      </c>
      <c r="H69">
        <v>1</v>
      </c>
      <c r="I69">
        <v>1</v>
      </c>
      <c r="J69" t="s">
        <v>67</v>
      </c>
      <c r="K69">
        <v>10</v>
      </c>
      <c r="L69">
        <v>16</v>
      </c>
      <c r="M69">
        <v>3</v>
      </c>
      <c r="N69">
        <v>7</v>
      </c>
      <c r="O69">
        <v>18</v>
      </c>
      <c r="P69">
        <v>16</v>
      </c>
      <c r="Q69">
        <v>3</v>
      </c>
      <c r="R69">
        <v>6</v>
      </c>
      <c r="S69">
        <v>2</v>
      </c>
      <c r="T69">
        <v>2</v>
      </c>
      <c r="U69">
        <v>1</v>
      </c>
      <c r="V69">
        <v>1</v>
      </c>
      <c r="W69">
        <v>1.57</v>
      </c>
      <c r="X69">
        <v>3.75</v>
      </c>
      <c r="Y69">
        <v>6</v>
      </c>
      <c r="Z69">
        <v>1.57</v>
      </c>
      <c r="AA69">
        <v>3.8</v>
      </c>
      <c r="AB69">
        <v>6</v>
      </c>
      <c r="AC69">
        <v>1.6</v>
      </c>
      <c r="AD69">
        <v>3.7</v>
      </c>
      <c r="AE69">
        <v>5.4</v>
      </c>
      <c r="AF69">
        <v>1.6</v>
      </c>
      <c r="AG69">
        <v>3.75</v>
      </c>
      <c r="AH69">
        <v>6</v>
      </c>
      <c r="AI69">
        <v>1.62</v>
      </c>
      <c r="AJ69">
        <v>4.0599999999999996</v>
      </c>
      <c r="AK69">
        <v>6.31</v>
      </c>
      <c r="AL69">
        <v>1.67</v>
      </c>
      <c r="AM69">
        <v>3.3</v>
      </c>
      <c r="AN69">
        <v>6</v>
      </c>
      <c r="AO69">
        <v>1.57</v>
      </c>
      <c r="AP69">
        <v>3.75</v>
      </c>
      <c r="AQ69">
        <v>5.5</v>
      </c>
      <c r="AR69">
        <v>1.65</v>
      </c>
      <c r="AS69">
        <v>4</v>
      </c>
      <c r="AT69">
        <v>5.75</v>
      </c>
      <c r="AU69">
        <v>36</v>
      </c>
      <c r="AV69">
        <v>1.67</v>
      </c>
      <c r="AW69">
        <v>1.6</v>
      </c>
      <c r="AX69">
        <v>4.0599999999999996</v>
      </c>
      <c r="AY69">
        <v>3.78</v>
      </c>
      <c r="AZ69">
        <v>6.5</v>
      </c>
      <c r="BA69">
        <v>5.78</v>
      </c>
      <c r="BB69">
        <v>34</v>
      </c>
      <c r="BC69">
        <v>1.9</v>
      </c>
      <c r="BD69">
        <v>1.8</v>
      </c>
      <c r="BE69">
        <v>2.1</v>
      </c>
      <c r="BF69">
        <v>1.99</v>
      </c>
      <c r="BG69">
        <v>22</v>
      </c>
      <c r="BH69">
        <v>-1</v>
      </c>
      <c r="BI69">
        <v>2.1800000000000002</v>
      </c>
      <c r="BJ69">
        <v>2.1</v>
      </c>
      <c r="BK69">
        <v>1.82</v>
      </c>
      <c r="BL69">
        <v>1.78</v>
      </c>
      <c r="BM69">
        <v>1.7</v>
      </c>
      <c r="BN69">
        <v>3.96</v>
      </c>
      <c r="BO69">
        <v>5.59</v>
      </c>
    </row>
    <row r="70" spans="1:67">
      <c r="A70" t="s">
        <v>63</v>
      </c>
      <c r="B70" s="77">
        <v>41553</v>
      </c>
      <c r="C70" t="s">
        <v>64</v>
      </c>
      <c r="D70" t="s">
        <v>83</v>
      </c>
      <c r="E70">
        <v>2</v>
      </c>
      <c r="F70">
        <v>2</v>
      </c>
      <c r="G70" t="s">
        <v>67</v>
      </c>
      <c r="H70">
        <v>1</v>
      </c>
      <c r="I70">
        <v>0</v>
      </c>
      <c r="J70" t="s">
        <v>70</v>
      </c>
      <c r="K70">
        <v>14</v>
      </c>
      <c r="L70">
        <v>10</v>
      </c>
      <c r="M70">
        <v>6</v>
      </c>
      <c r="N70">
        <v>3</v>
      </c>
      <c r="O70">
        <v>21</v>
      </c>
      <c r="P70">
        <v>22</v>
      </c>
      <c r="Q70">
        <v>4</v>
      </c>
      <c r="R70">
        <v>11</v>
      </c>
      <c r="S70">
        <v>3</v>
      </c>
      <c r="T70">
        <v>6</v>
      </c>
      <c r="U70">
        <v>0</v>
      </c>
      <c r="V70">
        <v>0</v>
      </c>
      <c r="W70">
        <v>2.4</v>
      </c>
      <c r="X70">
        <v>3.2</v>
      </c>
      <c r="Y70">
        <v>3</v>
      </c>
      <c r="Z70">
        <v>2.4</v>
      </c>
      <c r="AA70">
        <v>3.1</v>
      </c>
      <c r="AB70">
        <v>3.1</v>
      </c>
      <c r="AC70">
        <v>2.2999999999999998</v>
      </c>
      <c r="AD70">
        <v>3.2</v>
      </c>
      <c r="AE70">
        <v>3</v>
      </c>
      <c r="AF70">
        <v>2.4</v>
      </c>
      <c r="AG70">
        <v>3.2</v>
      </c>
      <c r="AH70">
        <v>3</v>
      </c>
      <c r="AI70">
        <v>2.46</v>
      </c>
      <c r="AJ70">
        <v>3.22</v>
      </c>
      <c r="AK70">
        <v>3.31</v>
      </c>
      <c r="AL70">
        <v>2.5</v>
      </c>
      <c r="AM70">
        <v>3</v>
      </c>
      <c r="AN70">
        <v>3</v>
      </c>
      <c r="AO70">
        <v>2.38</v>
      </c>
      <c r="AP70">
        <v>3.2</v>
      </c>
      <c r="AQ70">
        <v>2.88</v>
      </c>
      <c r="AR70">
        <v>2.4500000000000002</v>
      </c>
      <c r="AS70">
        <v>3.25</v>
      </c>
      <c r="AT70">
        <v>3.2</v>
      </c>
      <c r="AU70">
        <v>35</v>
      </c>
      <c r="AV70">
        <v>2.5</v>
      </c>
      <c r="AW70">
        <v>2.42</v>
      </c>
      <c r="AX70">
        <v>3.25</v>
      </c>
      <c r="AY70">
        <v>3.15</v>
      </c>
      <c r="AZ70">
        <v>3.31</v>
      </c>
      <c r="BA70">
        <v>3.01</v>
      </c>
      <c r="BB70">
        <v>31</v>
      </c>
      <c r="BC70">
        <v>2.4300000000000002</v>
      </c>
      <c r="BD70">
        <v>2.27</v>
      </c>
      <c r="BE70">
        <v>1.72</v>
      </c>
      <c r="BF70">
        <v>1.62</v>
      </c>
      <c r="BG70">
        <v>18</v>
      </c>
      <c r="BH70">
        <v>0</v>
      </c>
      <c r="BI70">
        <v>1.74</v>
      </c>
      <c r="BJ70">
        <v>1.69</v>
      </c>
      <c r="BK70">
        <v>2.31</v>
      </c>
      <c r="BL70">
        <v>2.2000000000000002</v>
      </c>
      <c r="BM70">
        <v>2.66</v>
      </c>
      <c r="BN70">
        <v>3.13</v>
      </c>
      <c r="BO70">
        <v>3.08</v>
      </c>
    </row>
    <row r="71" spans="1:67">
      <c r="A71" t="s">
        <v>63</v>
      </c>
      <c r="B71" s="77">
        <v>41553</v>
      </c>
      <c r="C71" t="s">
        <v>76</v>
      </c>
      <c r="D71" t="s">
        <v>71</v>
      </c>
      <c r="E71">
        <v>2</v>
      </c>
      <c r="F71">
        <v>0</v>
      </c>
      <c r="G71" t="s">
        <v>70</v>
      </c>
      <c r="H71">
        <v>1</v>
      </c>
      <c r="I71">
        <v>0</v>
      </c>
      <c r="J71" t="s">
        <v>70</v>
      </c>
      <c r="K71">
        <v>12</v>
      </c>
      <c r="L71">
        <v>15</v>
      </c>
      <c r="M71">
        <v>4</v>
      </c>
      <c r="N71">
        <v>2</v>
      </c>
      <c r="O71">
        <v>14</v>
      </c>
      <c r="P71">
        <v>17</v>
      </c>
      <c r="Q71">
        <v>5</v>
      </c>
      <c r="R71">
        <v>4</v>
      </c>
      <c r="S71">
        <v>1</v>
      </c>
      <c r="T71">
        <v>1</v>
      </c>
      <c r="U71">
        <v>0</v>
      </c>
      <c r="V71">
        <v>0</v>
      </c>
      <c r="W71">
        <v>1.83</v>
      </c>
      <c r="X71">
        <v>3.5</v>
      </c>
      <c r="Y71">
        <v>4.33</v>
      </c>
      <c r="Z71">
        <v>1.88</v>
      </c>
      <c r="AA71">
        <v>3.4</v>
      </c>
      <c r="AB71">
        <v>4.2</v>
      </c>
      <c r="AC71">
        <v>1.8</v>
      </c>
      <c r="AD71">
        <v>3.5</v>
      </c>
      <c r="AE71">
        <v>4.2</v>
      </c>
      <c r="AF71">
        <v>1.83</v>
      </c>
      <c r="AG71">
        <v>3.4</v>
      </c>
      <c r="AH71">
        <v>4.33</v>
      </c>
      <c r="AI71">
        <v>1.97</v>
      </c>
      <c r="AJ71">
        <v>3.53</v>
      </c>
      <c r="AK71">
        <v>4.3600000000000003</v>
      </c>
      <c r="AL71">
        <v>1.95</v>
      </c>
      <c r="AM71">
        <v>3.2</v>
      </c>
      <c r="AN71">
        <v>4.2</v>
      </c>
      <c r="AO71">
        <v>1.83</v>
      </c>
      <c r="AP71">
        <v>3.5</v>
      </c>
      <c r="AQ71">
        <v>4</v>
      </c>
      <c r="AR71">
        <v>1.95</v>
      </c>
      <c r="AS71">
        <v>3.5</v>
      </c>
      <c r="AT71">
        <v>4.4000000000000004</v>
      </c>
      <c r="AU71">
        <v>37</v>
      </c>
      <c r="AV71">
        <v>1.97</v>
      </c>
      <c r="AW71">
        <v>1.89</v>
      </c>
      <c r="AX71">
        <v>3.55</v>
      </c>
      <c r="AY71">
        <v>3.41</v>
      </c>
      <c r="AZ71">
        <v>4.5</v>
      </c>
      <c r="BA71">
        <v>4.1500000000000004</v>
      </c>
      <c r="BB71">
        <v>35</v>
      </c>
      <c r="BC71">
        <v>2.1</v>
      </c>
      <c r="BD71">
        <v>2.0099999999999998</v>
      </c>
      <c r="BE71">
        <v>1.87</v>
      </c>
      <c r="BF71">
        <v>1.79</v>
      </c>
      <c r="BG71">
        <v>18</v>
      </c>
      <c r="BH71">
        <v>-0.5</v>
      </c>
      <c r="BI71">
        <v>1.96</v>
      </c>
      <c r="BJ71">
        <v>1.91</v>
      </c>
      <c r="BK71">
        <v>1.99</v>
      </c>
      <c r="BL71">
        <v>1.95</v>
      </c>
      <c r="BM71">
        <v>1.95</v>
      </c>
      <c r="BN71">
        <v>3.28</v>
      </c>
      <c r="BO71">
        <v>4.96</v>
      </c>
    </row>
    <row r="72" spans="1:67">
      <c r="A72" t="s">
        <v>63</v>
      </c>
      <c r="B72" s="77">
        <v>41565</v>
      </c>
      <c r="C72" t="s">
        <v>78</v>
      </c>
      <c r="D72" t="s">
        <v>79</v>
      </c>
      <c r="E72">
        <v>2</v>
      </c>
      <c r="F72">
        <v>0</v>
      </c>
      <c r="G72" t="s">
        <v>70</v>
      </c>
      <c r="H72">
        <v>1</v>
      </c>
      <c r="I72">
        <v>0</v>
      </c>
      <c r="J72" t="s">
        <v>70</v>
      </c>
      <c r="K72">
        <v>13</v>
      </c>
      <c r="L72">
        <v>15</v>
      </c>
      <c r="M72">
        <v>4</v>
      </c>
      <c r="N72">
        <v>3</v>
      </c>
      <c r="O72">
        <v>13</v>
      </c>
      <c r="P72">
        <v>11</v>
      </c>
      <c r="Q72">
        <v>2</v>
      </c>
      <c r="R72">
        <v>5</v>
      </c>
      <c r="S72">
        <v>2</v>
      </c>
      <c r="T72">
        <v>3</v>
      </c>
      <c r="U72">
        <v>0</v>
      </c>
      <c r="V72">
        <v>1</v>
      </c>
      <c r="W72">
        <v>2.1</v>
      </c>
      <c r="X72">
        <v>3.3</v>
      </c>
      <c r="Y72">
        <v>3.5</v>
      </c>
      <c r="Z72">
        <v>2.0499999999999998</v>
      </c>
      <c r="AA72">
        <v>3.4</v>
      </c>
      <c r="AB72">
        <v>3.5</v>
      </c>
      <c r="AC72">
        <v>2.2000000000000002</v>
      </c>
      <c r="AD72">
        <v>3.3</v>
      </c>
      <c r="AE72">
        <v>3.1</v>
      </c>
      <c r="AF72">
        <v>2.15</v>
      </c>
      <c r="AG72">
        <v>3.4</v>
      </c>
      <c r="AH72">
        <v>3.25</v>
      </c>
      <c r="AI72">
        <v>2.16</v>
      </c>
      <c r="AJ72">
        <v>3.5</v>
      </c>
      <c r="AK72">
        <v>3.68</v>
      </c>
      <c r="AL72">
        <v>2.15</v>
      </c>
      <c r="AM72">
        <v>3.5</v>
      </c>
      <c r="AN72">
        <v>3.25</v>
      </c>
      <c r="AO72">
        <v>2.0499999999999998</v>
      </c>
      <c r="AP72">
        <v>3.3</v>
      </c>
      <c r="AQ72">
        <v>3.5</v>
      </c>
      <c r="AR72">
        <v>2.2000000000000002</v>
      </c>
      <c r="AS72">
        <v>3.5</v>
      </c>
      <c r="AT72">
        <v>3.5</v>
      </c>
      <c r="AU72">
        <v>39</v>
      </c>
      <c r="AV72">
        <v>2.2200000000000002</v>
      </c>
      <c r="AW72">
        <v>2.12</v>
      </c>
      <c r="AX72">
        <v>3.5</v>
      </c>
      <c r="AY72">
        <v>3.36</v>
      </c>
      <c r="AZ72">
        <v>3.68</v>
      </c>
      <c r="BA72">
        <v>3.49</v>
      </c>
      <c r="BB72">
        <v>38</v>
      </c>
      <c r="BC72">
        <v>1.8</v>
      </c>
      <c r="BD72">
        <v>1.71</v>
      </c>
      <c r="BE72">
        <v>2.2599999999999998</v>
      </c>
      <c r="BF72">
        <v>2.11</v>
      </c>
      <c r="BG72">
        <v>21</v>
      </c>
      <c r="BH72">
        <v>-0.25</v>
      </c>
      <c r="BI72">
        <v>1.86</v>
      </c>
      <c r="BJ72">
        <v>1.82</v>
      </c>
      <c r="BK72">
        <v>2.12</v>
      </c>
      <c r="BL72">
        <v>2.06</v>
      </c>
      <c r="BM72">
        <v>2.04</v>
      </c>
      <c r="BN72">
        <v>3.42</v>
      </c>
      <c r="BO72">
        <v>4.21</v>
      </c>
    </row>
    <row r="73" spans="1:67">
      <c r="A73" t="s">
        <v>63</v>
      </c>
      <c r="B73" s="77">
        <v>41566</v>
      </c>
      <c r="C73" t="s">
        <v>71</v>
      </c>
      <c r="D73" t="s">
        <v>86</v>
      </c>
      <c r="E73">
        <v>2</v>
      </c>
      <c r="F73">
        <v>1</v>
      </c>
      <c r="G73" t="s">
        <v>70</v>
      </c>
      <c r="H73">
        <v>1</v>
      </c>
      <c r="I73">
        <v>1</v>
      </c>
      <c r="J73" t="s">
        <v>67</v>
      </c>
      <c r="K73">
        <v>29</v>
      </c>
      <c r="L73">
        <v>7</v>
      </c>
      <c r="M73">
        <v>10</v>
      </c>
      <c r="N73">
        <v>4</v>
      </c>
      <c r="O73">
        <v>12</v>
      </c>
      <c r="P73">
        <v>18</v>
      </c>
      <c r="Q73">
        <v>11</v>
      </c>
      <c r="R73">
        <v>5</v>
      </c>
      <c r="S73">
        <v>3</v>
      </c>
      <c r="T73">
        <v>1</v>
      </c>
      <c r="U73">
        <v>0</v>
      </c>
      <c r="V73">
        <v>1</v>
      </c>
      <c r="W73">
        <v>1.91</v>
      </c>
      <c r="X73">
        <v>3.3</v>
      </c>
      <c r="Y73">
        <v>4.2</v>
      </c>
      <c r="Z73">
        <v>1.91</v>
      </c>
      <c r="AA73">
        <v>3.3</v>
      </c>
      <c r="AB73">
        <v>4.2</v>
      </c>
      <c r="AC73">
        <v>2</v>
      </c>
      <c r="AD73">
        <v>3.3</v>
      </c>
      <c r="AE73">
        <v>3.6</v>
      </c>
      <c r="AF73">
        <v>1.95</v>
      </c>
      <c r="AG73">
        <v>3.3</v>
      </c>
      <c r="AH73">
        <v>4</v>
      </c>
      <c r="AI73">
        <v>2</v>
      </c>
      <c r="AJ73">
        <v>3.38</v>
      </c>
      <c r="AK73">
        <v>4.47</v>
      </c>
      <c r="AL73">
        <v>2</v>
      </c>
      <c r="AM73">
        <v>3.3</v>
      </c>
      <c r="AN73">
        <v>3.75</v>
      </c>
      <c r="AO73">
        <v>1.91</v>
      </c>
      <c r="AP73">
        <v>3.25</v>
      </c>
      <c r="AQ73">
        <v>4</v>
      </c>
      <c r="AR73">
        <v>2</v>
      </c>
      <c r="AS73">
        <v>3.3</v>
      </c>
      <c r="AT73">
        <v>4.33</v>
      </c>
      <c r="AU73">
        <v>39</v>
      </c>
      <c r="AV73">
        <v>2</v>
      </c>
      <c r="AW73">
        <v>1.97</v>
      </c>
      <c r="AX73">
        <v>3.4</v>
      </c>
      <c r="AY73">
        <v>3.26</v>
      </c>
      <c r="AZ73">
        <v>4.55</v>
      </c>
      <c r="BA73">
        <v>4.05</v>
      </c>
      <c r="BB73">
        <v>38</v>
      </c>
      <c r="BC73">
        <v>2.29</v>
      </c>
      <c r="BD73">
        <v>2.16</v>
      </c>
      <c r="BE73">
        <v>1.75</v>
      </c>
      <c r="BF73">
        <v>1.68</v>
      </c>
      <c r="BG73">
        <v>20</v>
      </c>
      <c r="BH73">
        <v>-0.5</v>
      </c>
      <c r="BI73">
        <v>2.0099999999999998</v>
      </c>
      <c r="BJ73">
        <v>1.97</v>
      </c>
      <c r="BK73">
        <v>1.94</v>
      </c>
      <c r="BL73">
        <v>1.9</v>
      </c>
      <c r="BM73">
        <v>1.88</v>
      </c>
      <c r="BN73">
        <v>3.52</v>
      </c>
      <c r="BO73">
        <v>4.9000000000000004</v>
      </c>
    </row>
    <row r="74" spans="1:67">
      <c r="A74" t="s">
        <v>63</v>
      </c>
      <c r="B74" s="77">
        <v>41566</v>
      </c>
      <c r="C74" t="s">
        <v>69</v>
      </c>
      <c r="D74" t="s">
        <v>76</v>
      </c>
      <c r="E74">
        <v>1</v>
      </c>
      <c r="F74">
        <v>0</v>
      </c>
      <c r="G74" t="s">
        <v>70</v>
      </c>
      <c r="H74">
        <v>1</v>
      </c>
      <c r="I74">
        <v>0</v>
      </c>
      <c r="J74" t="s">
        <v>70</v>
      </c>
      <c r="K74">
        <v>12</v>
      </c>
      <c r="L74">
        <v>7</v>
      </c>
      <c r="M74">
        <v>3</v>
      </c>
      <c r="N74">
        <v>2</v>
      </c>
      <c r="O74">
        <v>13</v>
      </c>
      <c r="P74">
        <v>12</v>
      </c>
      <c r="Q74">
        <v>3</v>
      </c>
      <c r="R74">
        <v>10</v>
      </c>
      <c r="S74">
        <v>3</v>
      </c>
      <c r="T74">
        <v>3</v>
      </c>
      <c r="U74">
        <v>0</v>
      </c>
      <c r="V74">
        <v>0</v>
      </c>
      <c r="W74">
        <v>1.67</v>
      </c>
      <c r="X74">
        <v>3.6</v>
      </c>
      <c r="Y74">
        <v>5.25</v>
      </c>
      <c r="Z74">
        <v>1.65</v>
      </c>
      <c r="AA74">
        <v>3.75</v>
      </c>
      <c r="AB74">
        <v>5.25</v>
      </c>
      <c r="AC74">
        <v>1.7</v>
      </c>
      <c r="AD74">
        <v>3.6</v>
      </c>
      <c r="AE74">
        <v>4.7</v>
      </c>
      <c r="AF74">
        <v>1.66</v>
      </c>
      <c r="AG74">
        <v>3.75</v>
      </c>
      <c r="AH74">
        <v>5</v>
      </c>
      <c r="AI74">
        <v>1.69</v>
      </c>
      <c r="AJ74">
        <v>3.88</v>
      </c>
      <c r="AK74">
        <v>5.81</v>
      </c>
      <c r="AL74">
        <v>1.75</v>
      </c>
      <c r="AM74">
        <v>3.4</v>
      </c>
      <c r="AN74">
        <v>5</v>
      </c>
      <c r="AO74">
        <v>1.67</v>
      </c>
      <c r="AP74">
        <v>3.6</v>
      </c>
      <c r="AQ74">
        <v>5</v>
      </c>
      <c r="AR74">
        <v>1.7</v>
      </c>
      <c r="AS74">
        <v>3.8</v>
      </c>
      <c r="AT74">
        <v>5.5</v>
      </c>
      <c r="AU74">
        <v>39</v>
      </c>
      <c r="AV74">
        <v>1.75</v>
      </c>
      <c r="AW74">
        <v>1.69</v>
      </c>
      <c r="AX74">
        <v>3.81</v>
      </c>
      <c r="AY74">
        <v>3.65</v>
      </c>
      <c r="AZ74">
        <v>5.7</v>
      </c>
      <c r="BA74">
        <v>5.16</v>
      </c>
      <c r="BB74">
        <v>38</v>
      </c>
      <c r="BC74">
        <v>1.92</v>
      </c>
      <c r="BD74">
        <v>1.84</v>
      </c>
      <c r="BE74">
        <v>2.08</v>
      </c>
      <c r="BF74">
        <v>1.95</v>
      </c>
      <c r="BG74">
        <v>21</v>
      </c>
      <c r="BH74">
        <v>-1</v>
      </c>
      <c r="BI74">
        <v>2.34</v>
      </c>
      <c r="BJ74">
        <v>2.2599999999999998</v>
      </c>
      <c r="BK74">
        <v>1.72</v>
      </c>
      <c r="BL74">
        <v>1.67</v>
      </c>
      <c r="BM74">
        <v>1.82</v>
      </c>
      <c r="BN74">
        <v>3.65</v>
      </c>
      <c r="BO74">
        <v>5.07</v>
      </c>
    </row>
    <row r="75" spans="1:67">
      <c r="A75" t="s">
        <v>63</v>
      </c>
      <c r="B75" s="77">
        <v>41567</v>
      </c>
      <c r="C75" t="s">
        <v>72</v>
      </c>
      <c r="D75" t="s">
        <v>75</v>
      </c>
      <c r="E75">
        <v>2</v>
      </c>
      <c r="F75">
        <v>1</v>
      </c>
      <c r="G75" t="s">
        <v>70</v>
      </c>
      <c r="H75">
        <v>1</v>
      </c>
      <c r="I75">
        <v>0</v>
      </c>
      <c r="J75" t="s">
        <v>70</v>
      </c>
      <c r="K75">
        <v>14</v>
      </c>
      <c r="L75">
        <v>16</v>
      </c>
      <c r="M75">
        <v>5</v>
      </c>
      <c r="N75">
        <v>4</v>
      </c>
      <c r="O75">
        <v>7</v>
      </c>
      <c r="P75">
        <v>17</v>
      </c>
      <c r="Q75">
        <v>8</v>
      </c>
      <c r="R75">
        <v>2</v>
      </c>
      <c r="S75">
        <v>0</v>
      </c>
      <c r="T75">
        <v>2</v>
      </c>
      <c r="U75">
        <v>0</v>
      </c>
      <c r="V75">
        <v>0</v>
      </c>
      <c r="W75">
        <v>2.7</v>
      </c>
      <c r="X75">
        <v>3.2</v>
      </c>
      <c r="Y75">
        <v>2.6</v>
      </c>
      <c r="Z75">
        <v>2.75</v>
      </c>
      <c r="AA75">
        <v>3.1</v>
      </c>
      <c r="AB75">
        <v>2.65</v>
      </c>
      <c r="AC75">
        <v>2.6</v>
      </c>
      <c r="AD75">
        <v>3.2</v>
      </c>
      <c r="AE75">
        <v>2.6</v>
      </c>
      <c r="AF75">
        <v>2.7</v>
      </c>
      <c r="AG75">
        <v>3.2</v>
      </c>
      <c r="AH75">
        <v>2.7</v>
      </c>
      <c r="AI75">
        <v>2.87</v>
      </c>
      <c r="AJ75">
        <v>3.2</v>
      </c>
      <c r="AK75">
        <v>2.79</v>
      </c>
      <c r="AL75">
        <v>2.75</v>
      </c>
      <c r="AM75">
        <v>3</v>
      </c>
      <c r="AN75">
        <v>2.75</v>
      </c>
      <c r="AO75">
        <v>2.63</v>
      </c>
      <c r="AP75">
        <v>3.2</v>
      </c>
      <c r="AQ75">
        <v>2.6</v>
      </c>
      <c r="AR75">
        <v>2.88</v>
      </c>
      <c r="AS75">
        <v>3.2</v>
      </c>
      <c r="AT75">
        <v>2.75</v>
      </c>
      <c r="AU75">
        <v>39</v>
      </c>
      <c r="AV75">
        <v>2.92</v>
      </c>
      <c r="AW75">
        <v>2.74</v>
      </c>
      <c r="AX75">
        <v>3.32</v>
      </c>
      <c r="AY75">
        <v>3.14</v>
      </c>
      <c r="AZ75">
        <v>2.79</v>
      </c>
      <c r="BA75">
        <v>2.65</v>
      </c>
      <c r="BB75">
        <v>36</v>
      </c>
      <c r="BC75">
        <v>2.33</v>
      </c>
      <c r="BD75">
        <v>2.23</v>
      </c>
      <c r="BE75">
        <v>1.75</v>
      </c>
      <c r="BF75">
        <v>1.63</v>
      </c>
      <c r="BG75">
        <v>20</v>
      </c>
      <c r="BH75">
        <v>0</v>
      </c>
      <c r="BI75">
        <v>2</v>
      </c>
      <c r="BJ75">
        <v>1.94</v>
      </c>
      <c r="BK75">
        <v>1.95</v>
      </c>
      <c r="BL75">
        <v>1.9</v>
      </c>
      <c r="BM75">
        <v>2.95</v>
      </c>
      <c r="BN75">
        <v>3.32</v>
      </c>
      <c r="BO75">
        <v>2.65</v>
      </c>
    </row>
    <row r="76" spans="1:67">
      <c r="A76" t="s">
        <v>63</v>
      </c>
      <c r="B76" s="77">
        <v>41567</v>
      </c>
      <c r="C76" t="s">
        <v>85</v>
      </c>
      <c r="D76" t="s">
        <v>65</v>
      </c>
      <c r="E76">
        <v>4</v>
      </c>
      <c r="F76">
        <v>2</v>
      </c>
      <c r="G76" t="s">
        <v>70</v>
      </c>
      <c r="H76">
        <v>0</v>
      </c>
      <c r="I76">
        <v>2</v>
      </c>
      <c r="J76" t="s">
        <v>66</v>
      </c>
      <c r="K76">
        <v>12</v>
      </c>
      <c r="L76">
        <v>18</v>
      </c>
      <c r="M76">
        <v>7</v>
      </c>
      <c r="N76">
        <v>8</v>
      </c>
      <c r="O76">
        <v>11</v>
      </c>
      <c r="P76">
        <v>25</v>
      </c>
      <c r="Q76">
        <v>4</v>
      </c>
      <c r="R76">
        <v>5</v>
      </c>
      <c r="S76">
        <v>3</v>
      </c>
      <c r="T76">
        <v>6</v>
      </c>
      <c r="U76">
        <v>0</v>
      </c>
      <c r="V76">
        <v>0</v>
      </c>
      <c r="W76">
        <v>3.5</v>
      </c>
      <c r="X76">
        <v>3.3</v>
      </c>
      <c r="Y76">
        <v>2.1</v>
      </c>
      <c r="Z76">
        <v>3.3</v>
      </c>
      <c r="AA76">
        <v>3.4</v>
      </c>
      <c r="AB76">
        <v>2.15</v>
      </c>
      <c r="AC76">
        <v>3.3</v>
      </c>
      <c r="AD76">
        <v>3.3</v>
      </c>
      <c r="AE76">
        <v>2.1</v>
      </c>
      <c r="AF76">
        <v>3.3</v>
      </c>
      <c r="AG76">
        <v>3.25</v>
      </c>
      <c r="AH76">
        <v>2.2000000000000002</v>
      </c>
      <c r="AI76">
        <v>3.83</v>
      </c>
      <c r="AJ76">
        <v>3.31</v>
      </c>
      <c r="AK76">
        <v>2.19</v>
      </c>
      <c r="AL76">
        <v>3.2</v>
      </c>
      <c r="AM76">
        <v>3.3</v>
      </c>
      <c r="AN76">
        <v>2.25</v>
      </c>
      <c r="AO76">
        <v>3.4</v>
      </c>
      <c r="AP76">
        <v>3.2</v>
      </c>
      <c r="AQ76">
        <v>2.1</v>
      </c>
      <c r="AR76">
        <v>3.75</v>
      </c>
      <c r="AS76">
        <v>3.3</v>
      </c>
      <c r="AT76">
        <v>2.2000000000000002</v>
      </c>
      <c r="AU76">
        <v>39</v>
      </c>
      <c r="AV76">
        <v>3.83</v>
      </c>
      <c r="AW76">
        <v>3.45</v>
      </c>
      <c r="AX76">
        <v>3.35</v>
      </c>
      <c r="AY76">
        <v>3.22</v>
      </c>
      <c r="AZ76">
        <v>2.2999999999999998</v>
      </c>
      <c r="BA76">
        <v>2.17</v>
      </c>
      <c r="BB76">
        <v>38</v>
      </c>
      <c r="BC76">
        <v>2.2200000000000002</v>
      </c>
      <c r="BD76">
        <v>2.08</v>
      </c>
      <c r="BE76">
        <v>1.8</v>
      </c>
      <c r="BF76">
        <v>1.73</v>
      </c>
      <c r="BG76">
        <v>18</v>
      </c>
      <c r="BH76">
        <v>0.25</v>
      </c>
      <c r="BI76">
        <v>2.08</v>
      </c>
      <c r="BJ76">
        <v>2.02</v>
      </c>
      <c r="BK76">
        <v>1.87</v>
      </c>
      <c r="BL76">
        <v>1.84</v>
      </c>
      <c r="BM76">
        <v>3.9</v>
      </c>
      <c r="BN76">
        <v>3.54</v>
      </c>
      <c r="BO76">
        <v>2.08</v>
      </c>
    </row>
    <row r="77" spans="1:67">
      <c r="A77" t="s">
        <v>63</v>
      </c>
      <c r="B77" s="77">
        <v>41567</v>
      </c>
      <c r="C77" t="s">
        <v>74</v>
      </c>
      <c r="D77" t="s">
        <v>82</v>
      </c>
      <c r="E77">
        <v>2</v>
      </c>
      <c r="F77">
        <v>1</v>
      </c>
      <c r="G77" t="s">
        <v>70</v>
      </c>
      <c r="H77">
        <v>1</v>
      </c>
      <c r="I77">
        <v>0</v>
      </c>
      <c r="J77" t="s">
        <v>70</v>
      </c>
      <c r="K77">
        <v>9</v>
      </c>
      <c r="L77">
        <v>15</v>
      </c>
      <c r="M77">
        <v>5</v>
      </c>
      <c r="N77">
        <v>7</v>
      </c>
      <c r="O77">
        <v>15</v>
      </c>
      <c r="P77">
        <v>20</v>
      </c>
      <c r="Q77">
        <v>4</v>
      </c>
      <c r="R77">
        <v>2</v>
      </c>
      <c r="S77">
        <v>1</v>
      </c>
      <c r="T77">
        <v>4</v>
      </c>
      <c r="U77">
        <v>0</v>
      </c>
      <c r="V77">
        <v>0</v>
      </c>
      <c r="W77">
        <v>2</v>
      </c>
      <c r="X77">
        <v>3.4</v>
      </c>
      <c r="Y77">
        <v>3.75</v>
      </c>
      <c r="Z77">
        <v>2.0499999999999998</v>
      </c>
      <c r="AA77">
        <v>3.2</v>
      </c>
      <c r="AB77">
        <v>3.8</v>
      </c>
      <c r="AC77">
        <v>2</v>
      </c>
      <c r="AD77">
        <v>3.3</v>
      </c>
      <c r="AE77">
        <v>3.6</v>
      </c>
      <c r="AF77">
        <v>2.1</v>
      </c>
      <c r="AG77">
        <v>3.3</v>
      </c>
      <c r="AH77">
        <v>3.5</v>
      </c>
      <c r="AI77">
        <v>2.11</v>
      </c>
      <c r="AJ77">
        <v>3.3</v>
      </c>
      <c r="AK77">
        <v>4.1100000000000003</v>
      </c>
      <c r="AL77">
        <v>2.1</v>
      </c>
      <c r="AM77">
        <v>3.3</v>
      </c>
      <c r="AN77">
        <v>3.5</v>
      </c>
      <c r="AO77">
        <v>2</v>
      </c>
      <c r="AP77">
        <v>3.3</v>
      </c>
      <c r="AQ77">
        <v>3.75</v>
      </c>
      <c r="AR77">
        <v>2</v>
      </c>
      <c r="AS77">
        <v>3.4</v>
      </c>
      <c r="AT77">
        <v>4.0999999999999996</v>
      </c>
      <c r="AU77">
        <v>39</v>
      </c>
      <c r="AV77">
        <v>2.11</v>
      </c>
      <c r="AW77">
        <v>2.04</v>
      </c>
      <c r="AX77">
        <v>3.42</v>
      </c>
      <c r="AY77">
        <v>3.25</v>
      </c>
      <c r="AZ77">
        <v>4.1100000000000003</v>
      </c>
      <c r="BA77">
        <v>3.76</v>
      </c>
      <c r="BB77">
        <v>36</v>
      </c>
      <c r="BC77">
        <v>2.38</v>
      </c>
      <c r="BD77">
        <v>2.21</v>
      </c>
      <c r="BE77">
        <v>1.75</v>
      </c>
      <c r="BF77">
        <v>1.65</v>
      </c>
      <c r="BG77">
        <v>20</v>
      </c>
      <c r="BH77">
        <v>-0.5</v>
      </c>
      <c r="BI77">
        <v>2.12</v>
      </c>
      <c r="BJ77">
        <v>2.0699999999999998</v>
      </c>
      <c r="BK77">
        <v>1.84</v>
      </c>
      <c r="BL77">
        <v>1.81</v>
      </c>
      <c r="BM77">
        <v>2.1</v>
      </c>
      <c r="BN77">
        <v>3.37</v>
      </c>
      <c r="BO77">
        <v>4.0599999999999996</v>
      </c>
    </row>
    <row r="78" spans="1:67">
      <c r="A78" t="s">
        <v>63</v>
      </c>
      <c r="B78" s="77">
        <v>41567</v>
      </c>
      <c r="C78" t="s">
        <v>77</v>
      </c>
      <c r="D78" t="s">
        <v>64</v>
      </c>
      <c r="E78">
        <v>1</v>
      </c>
      <c r="F78">
        <v>2</v>
      </c>
      <c r="G78" t="s">
        <v>66</v>
      </c>
      <c r="H78">
        <v>0</v>
      </c>
      <c r="I78">
        <v>1</v>
      </c>
      <c r="J78" t="s">
        <v>66</v>
      </c>
      <c r="K78">
        <v>17</v>
      </c>
      <c r="L78">
        <v>11</v>
      </c>
      <c r="M78">
        <v>5</v>
      </c>
      <c r="N78">
        <v>2</v>
      </c>
      <c r="O78">
        <v>14</v>
      </c>
      <c r="P78">
        <v>18</v>
      </c>
      <c r="Q78">
        <v>5</v>
      </c>
      <c r="R78">
        <v>2</v>
      </c>
      <c r="S78">
        <v>5</v>
      </c>
      <c r="T78">
        <v>2</v>
      </c>
      <c r="U78">
        <v>0</v>
      </c>
      <c r="V78">
        <v>0</v>
      </c>
      <c r="W78">
        <v>2.2999999999999998</v>
      </c>
      <c r="X78">
        <v>3.2</v>
      </c>
      <c r="Y78">
        <v>3.1</v>
      </c>
      <c r="Z78">
        <v>2.4</v>
      </c>
      <c r="AA78">
        <v>3.1</v>
      </c>
      <c r="AB78">
        <v>3.1</v>
      </c>
      <c r="AC78">
        <v>2.2000000000000002</v>
      </c>
      <c r="AD78">
        <v>3.2</v>
      </c>
      <c r="AE78">
        <v>3.2</v>
      </c>
      <c r="AF78">
        <v>2.25</v>
      </c>
      <c r="AG78">
        <v>3.2</v>
      </c>
      <c r="AH78">
        <v>3.2</v>
      </c>
      <c r="AI78">
        <v>2.4</v>
      </c>
      <c r="AJ78">
        <v>3.26</v>
      </c>
      <c r="AK78">
        <v>3.37</v>
      </c>
      <c r="AL78">
        <v>2.5</v>
      </c>
      <c r="AM78">
        <v>3.2</v>
      </c>
      <c r="AN78">
        <v>2.88</v>
      </c>
      <c r="AO78">
        <v>2.38</v>
      </c>
      <c r="AP78">
        <v>3.13</v>
      </c>
      <c r="AQ78">
        <v>3</v>
      </c>
      <c r="AR78">
        <v>2.4500000000000002</v>
      </c>
      <c r="AS78">
        <v>3.25</v>
      </c>
      <c r="AT78">
        <v>3.25</v>
      </c>
      <c r="AU78">
        <v>39</v>
      </c>
      <c r="AV78">
        <v>2.5</v>
      </c>
      <c r="AW78">
        <v>2.37</v>
      </c>
      <c r="AX78">
        <v>3.27</v>
      </c>
      <c r="AY78">
        <v>3.15</v>
      </c>
      <c r="AZ78">
        <v>3.4</v>
      </c>
      <c r="BA78">
        <v>3.11</v>
      </c>
      <c r="BB78">
        <v>38</v>
      </c>
      <c r="BC78">
        <v>2.2999999999999998</v>
      </c>
      <c r="BD78">
        <v>2.2000000000000002</v>
      </c>
      <c r="BE78">
        <v>1.75</v>
      </c>
      <c r="BF78">
        <v>1.66</v>
      </c>
      <c r="BG78">
        <v>20</v>
      </c>
      <c r="BH78">
        <v>-0.25</v>
      </c>
      <c r="BI78">
        <v>2.0699999999999998</v>
      </c>
      <c r="BJ78">
        <v>2.02</v>
      </c>
      <c r="BK78">
        <v>1.89</v>
      </c>
      <c r="BL78">
        <v>1.85</v>
      </c>
      <c r="BM78">
        <v>2.54</v>
      </c>
      <c r="BN78">
        <v>3.26</v>
      </c>
      <c r="BO78">
        <v>3.12</v>
      </c>
    </row>
    <row r="79" spans="1:67">
      <c r="A79" t="s">
        <v>63</v>
      </c>
      <c r="B79" s="77">
        <v>41567</v>
      </c>
      <c r="C79" t="s">
        <v>84</v>
      </c>
      <c r="D79" t="s">
        <v>80</v>
      </c>
      <c r="E79">
        <v>2</v>
      </c>
      <c r="F79">
        <v>1</v>
      </c>
      <c r="G79" t="s">
        <v>70</v>
      </c>
      <c r="H79">
        <v>2</v>
      </c>
      <c r="I79">
        <v>1</v>
      </c>
      <c r="J79" t="s">
        <v>70</v>
      </c>
      <c r="K79">
        <v>8</v>
      </c>
      <c r="L79">
        <v>20</v>
      </c>
      <c r="M79">
        <v>5</v>
      </c>
      <c r="N79">
        <v>6</v>
      </c>
      <c r="O79">
        <v>18</v>
      </c>
      <c r="P79">
        <v>11</v>
      </c>
      <c r="Q79">
        <v>1</v>
      </c>
      <c r="R79">
        <v>13</v>
      </c>
      <c r="S79">
        <v>4</v>
      </c>
      <c r="T79">
        <v>2</v>
      </c>
      <c r="U79">
        <v>0</v>
      </c>
      <c r="V79">
        <v>0</v>
      </c>
      <c r="W79">
        <v>2.38</v>
      </c>
      <c r="X79">
        <v>3.2</v>
      </c>
      <c r="Y79">
        <v>3</v>
      </c>
      <c r="Z79">
        <v>2.4</v>
      </c>
      <c r="AA79">
        <v>3.2</v>
      </c>
      <c r="AB79">
        <v>2.95</v>
      </c>
      <c r="AC79">
        <v>2.5</v>
      </c>
      <c r="AD79">
        <v>3.3</v>
      </c>
      <c r="AE79">
        <v>2.65</v>
      </c>
      <c r="AF79">
        <v>2.4</v>
      </c>
      <c r="AG79">
        <v>3.2</v>
      </c>
      <c r="AH79">
        <v>3</v>
      </c>
      <c r="AI79">
        <v>2.5499999999999998</v>
      </c>
      <c r="AJ79">
        <v>3.27</v>
      </c>
      <c r="AK79">
        <v>3.11</v>
      </c>
      <c r="AL79">
        <v>2.5</v>
      </c>
      <c r="AM79">
        <v>3.2</v>
      </c>
      <c r="AN79">
        <v>2.88</v>
      </c>
      <c r="AO79">
        <v>2.38</v>
      </c>
      <c r="AP79">
        <v>3.2</v>
      </c>
      <c r="AQ79">
        <v>2.88</v>
      </c>
      <c r="AR79">
        <v>2.5</v>
      </c>
      <c r="AS79">
        <v>3.25</v>
      </c>
      <c r="AT79">
        <v>3.1</v>
      </c>
      <c r="AU79">
        <v>39</v>
      </c>
      <c r="AV79">
        <v>2.5499999999999998</v>
      </c>
      <c r="AW79">
        <v>2.44</v>
      </c>
      <c r="AX79">
        <v>3.33</v>
      </c>
      <c r="AY79">
        <v>3.21</v>
      </c>
      <c r="AZ79">
        <v>3.13</v>
      </c>
      <c r="BA79">
        <v>2.94</v>
      </c>
      <c r="BB79">
        <v>38</v>
      </c>
      <c r="BC79">
        <v>2.11</v>
      </c>
      <c r="BD79">
        <v>2.02</v>
      </c>
      <c r="BE79">
        <v>1.9</v>
      </c>
      <c r="BF79">
        <v>1.78</v>
      </c>
      <c r="BG79">
        <v>18</v>
      </c>
      <c r="BH79">
        <v>0</v>
      </c>
      <c r="BI79">
        <v>1.79</v>
      </c>
      <c r="BJ79">
        <v>1.74</v>
      </c>
      <c r="BK79">
        <v>2.21</v>
      </c>
      <c r="BL79">
        <v>2.13</v>
      </c>
      <c r="BM79">
        <v>2.2999999999999998</v>
      </c>
      <c r="BN79">
        <v>3.38</v>
      </c>
      <c r="BO79">
        <v>3.46</v>
      </c>
    </row>
    <row r="80" spans="1:67">
      <c r="A80" t="s">
        <v>63</v>
      </c>
      <c r="B80" s="77">
        <v>41567</v>
      </c>
      <c r="C80" t="s">
        <v>83</v>
      </c>
      <c r="D80" t="s">
        <v>73</v>
      </c>
      <c r="E80">
        <v>3</v>
      </c>
      <c r="F80">
        <v>3</v>
      </c>
      <c r="G80" t="s">
        <v>67</v>
      </c>
      <c r="H80">
        <v>1</v>
      </c>
      <c r="I80">
        <v>1</v>
      </c>
      <c r="J80" t="s">
        <v>67</v>
      </c>
      <c r="K80">
        <v>23</v>
      </c>
      <c r="L80">
        <v>8</v>
      </c>
      <c r="M80">
        <v>5</v>
      </c>
      <c r="N80">
        <v>5</v>
      </c>
      <c r="O80">
        <v>9</v>
      </c>
      <c r="P80">
        <v>13</v>
      </c>
      <c r="Q80">
        <v>11</v>
      </c>
      <c r="R80">
        <v>2</v>
      </c>
      <c r="S80">
        <v>3</v>
      </c>
      <c r="T80">
        <v>2</v>
      </c>
      <c r="U80">
        <v>0</v>
      </c>
      <c r="V80">
        <v>1</v>
      </c>
      <c r="W80">
        <v>3.4</v>
      </c>
      <c r="X80">
        <v>3.5</v>
      </c>
      <c r="Y80">
        <v>2.0499999999999998</v>
      </c>
      <c r="Z80">
        <v>3.5</v>
      </c>
      <c r="AA80">
        <v>3.4</v>
      </c>
      <c r="AB80">
        <v>2.0499999999999998</v>
      </c>
      <c r="AC80">
        <v>3.6</v>
      </c>
      <c r="AD80">
        <v>3.3</v>
      </c>
      <c r="AE80">
        <v>2</v>
      </c>
      <c r="AF80">
        <v>3.4</v>
      </c>
      <c r="AG80">
        <v>3.4</v>
      </c>
      <c r="AH80">
        <v>2.1</v>
      </c>
      <c r="AI80">
        <v>3.79</v>
      </c>
      <c r="AJ80">
        <v>3.43</v>
      </c>
      <c r="AK80">
        <v>2.15</v>
      </c>
      <c r="AL80">
        <v>3.5</v>
      </c>
      <c r="AM80">
        <v>3.2</v>
      </c>
      <c r="AN80">
        <v>2.15</v>
      </c>
      <c r="AO80">
        <v>3.3</v>
      </c>
      <c r="AP80">
        <v>3.3</v>
      </c>
      <c r="AQ80">
        <v>2.1</v>
      </c>
      <c r="AR80">
        <v>3.6</v>
      </c>
      <c r="AS80">
        <v>3.5</v>
      </c>
      <c r="AT80">
        <v>2.15</v>
      </c>
      <c r="AU80">
        <v>37</v>
      </c>
      <c r="AV80">
        <v>3.8</v>
      </c>
      <c r="AW80">
        <v>3.48</v>
      </c>
      <c r="AX80">
        <v>3.5</v>
      </c>
      <c r="AY80">
        <v>3.33</v>
      </c>
      <c r="AZ80">
        <v>2.1800000000000002</v>
      </c>
      <c r="BA80">
        <v>2.1</v>
      </c>
      <c r="BB80">
        <v>37</v>
      </c>
      <c r="BC80">
        <v>2.0299999999999998</v>
      </c>
      <c r="BD80">
        <v>1.95</v>
      </c>
      <c r="BE80">
        <v>1.96</v>
      </c>
      <c r="BF80">
        <v>1.84</v>
      </c>
      <c r="BG80">
        <v>18</v>
      </c>
      <c r="BH80">
        <v>0.5</v>
      </c>
      <c r="BI80">
        <v>1.79</v>
      </c>
      <c r="BJ80">
        <v>1.75</v>
      </c>
      <c r="BK80">
        <v>2.19</v>
      </c>
      <c r="BL80">
        <v>2.14</v>
      </c>
      <c r="BM80">
        <v>3.8</v>
      </c>
      <c r="BN80">
        <v>3.54</v>
      </c>
      <c r="BO80">
        <v>2.11</v>
      </c>
    </row>
    <row r="81" spans="1:67">
      <c r="A81" t="s">
        <v>63</v>
      </c>
      <c r="B81" s="77">
        <v>41567</v>
      </c>
      <c r="C81" t="s">
        <v>68</v>
      </c>
      <c r="D81" t="s">
        <v>81</v>
      </c>
      <c r="E81">
        <v>3</v>
      </c>
      <c r="F81">
        <v>2</v>
      </c>
      <c r="G81" t="s">
        <v>70</v>
      </c>
      <c r="H81">
        <v>1</v>
      </c>
      <c r="I81">
        <v>2</v>
      </c>
      <c r="J81" t="s">
        <v>66</v>
      </c>
      <c r="K81">
        <v>14</v>
      </c>
      <c r="L81">
        <v>14</v>
      </c>
      <c r="M81">
        <v>7</v>
      </c>
      <c r="N81">
        <v>6</v>
      </c>
      <c r="O81">
        <v>16</v>
      </c>
      <c r="P81">
        <v>21</v>
      </c>
      <c r="Q81">
        <v>6</v>
      </c>
      <c r="R81">
        <v>3</v>
      </c>
      <c r="S81">
        <v>0</v>
      </c>
      <c r="T81">
        <v>7</v>
      </c>
      <c r="U81">
        <v>0</v>
      </c>
      <c r="V81">
        <v>0</v>
      </c>
      <c r="W81">
        <v>2.2999999999999998</v>
      </c>
      <c r="X81">
        <v>3.2</v>
      </c>
      <c r="Y81">
        <v>3.1</v>
      </c>
      <c r="Z81">
        <v>2.2999999999999998</v>
      </c>
      <c r="AA81">
        <v>3.25</v>
      </c>
      <c r="AB81">
        <v>3.1</v>
      </c>
      <c r="AC81">
        <v>2.2999999999999998</v>
      </c>
      <c r="AD81">
        <v>3.3</v>
      </c>
      <c r="AE81">
        <v>2.9</v>
      </c>
      <c r="AF81">
        <v>2.25</v>
      </c>
      <c r="AG81">
        <v>3.25</v>
      </c>
      <c r="AH81">
        <v>3.2</v>
      </c>
      <c r="AI81">
        <v>2.4700000000000002</v>
      </c>
      <c r="AJ81">
        <v>3.28</v>
      </c>
      <c r="AK81">
        <v>3.23</v>
      </c>
      <c r="AL81">
        <v>2.5</v>
      </c>
      <c r="AM81">
        <v>3.2</v>
      </c>
      <c r="AN81">
        <v>2.88</v>
      </c>
      <c r="AO81">
        <v>2.2999999999999998</v>
      </c>
      <c r="AP81">
        <v>3.2</v>
      </c>
      <c r="AQ81">
        <v>3</v>
      </c>
      <c r="AR81">
        <v>2.4500000000000002</v>
      </c>
      <c r="AS81">
        <v>3.4</v>
      </c>
      <c r="AT81">
        <v>3.1</v>
      </c>
      <c r="AU81">
        <v>39</v>
      </c>
      <c r="AV81">
        <v>2.5499999999999998</v>
      </c>
      <c r="AW81">
        <v>2.36</v>
      </c>
      <c r="AX81">
        <v>3.4</v>
      </c>
      <c r="AY81">
        <v>3.25</v>
      </c>
      <c r="AZ81">
        <v>3.25</v>
      </c>
      <c r="BA81">
        <v>3.03</v>
      </c>
      <c r="BB81">
        <v>38</v>
      </c>
      <c r="BC81">
        <v>2.04</v>
      </c>
      <c r="BD81">
        <v>1.96</v>
      </c>
      <c r="BE81">
        <v>1.94</v>
      </c>
      <c r="BF81">
        <v>1.82</v>
      </c>
      <c r="BG81">
        <v>19</v>
      </c>
      <c r="BH81">
        <v>0</v>
      </c>
      <c r="BI81">
        <v>1.75</v>
      </c>
      <c r="BJ81">
        <v>1.69</v>
      </c>
      <c r="BK81">
        <v>2.2999999999999998</v>
      </c>
      <c r="BL81">
        <v>2.2000000000000002</v>
      </c>
      <c r="BM81">
        <v>2.4</v>
      </c>
      <c r="BN81">
        <v>3.55</v>
      </c>
      <c r="BO81">
        <v>3.11</v>
      </c>
    </row>
    <row r="82" spans="1:67">
      <c r="A82" t="s">
        <v>63</v>
      </c>
      <c r="B82" s="77">
        <v>41573</v>
      </c>
      <c r="C82" t="s">
        <v>73</v>
      </c>
      <c r="D82" t="s">
        <v>68</v>
      </c>
      <c r="E82">
        <v>4</v>
      </c>
      <c r="F82">
        <v>2</v>
      </c>
      <c r="G82" t="s">
        <v>70</v>
      </c>
      <c r="H82">
        <v>3</v>
      </c>
      <c r="I82">
        <v>1</v>
      </c>
      <c r="J82" t="s">
        <v>70</v>
      </c>
      <c r="K82">
        <v>21</v>
      </c>
      <c r="L82">
        <v>9</v>
      </c>
      <c r="M82">
        <v>8</v>
      </c>
      <c r="N82">
        <v>4</v>
      </c>
      <c r="O82">
        <v>11</v>
      </c>
      <c r="P82">
        <v>10</v>
      </c>
      <c r="Q82">
        <v>9</v>
      </c>
      <c r="R82">
        <v>1</v>
      </c>
      <c r="S82">
        <v>3</v>
      </c>
      <c r="T82">
        <v>3</v>
      </c>
      <c r="U82">
        <v>1</v>
      </c>
      <c r="V82">
        <v>1</v>
      </c>
      <c r="W82">
        <v>1.44</v>
      </c>
      <c r="X82">
        <v>4.2</v>
      </c>
      <c r="Y82">
        <v>7.5</v>
      </c>
      <c r="Z82">
        <v>1.4</v>
      </c>
      <c r="AA82">
        <v>4.4000000000000004</v>
      </c>
      <c r="AB82">
        <v>8</v>
      </c>
      <c r="AC82">
        <v>1.45</v>
      </c>
      <c r="AD82">
        <v>4</v>
      </c>
      <c r="AE82">
        <v>7</v>
      </c>
      <c r="AF82">
        <v>1.5</v>
      </c>
      <c r="AG82">
        <v>4.33</v>
      </c>
      <c r="AH82">
        <v>6</v>
      </c>
      <c r="AI82">
        <v>1.47</v>
      </c>
      <c r="AJ82">
        <v>4.62</v>
      </c>
      <c r="AK82">
        <v>8.1</v>
      </c>
      <c r="AL82">
        <v>1.5</v>
      </c>
      <c r="AM82">
        <v>4</v>
      </c>
      <c r="AN82">
        <v>7</v>
      </c>
      <c r="AO82">
        <v>1.44</v>
      </c>
      <c r="AP82">
        <v>4.33</v>
      </c>
      <c r="AQ82">
        <v>7</v>
      </c>
      <c r="AR82">
        <v>1.5</v>
      </c>
      <c r="AS82">
        <v>4.5999999999999996</v>
      </c>
      <c r="AT82">
        <v>7.5</v>
      </c>
      <c r="AU82">
        <v>38</v>
      </c>
      <c r="AV82">
        <v>1.5</v>
      </c>
      <c r="AW82">
        <v>1.44</v>
      </c>
      <c r="AX82">
        <v>4.62</v>
      </c>
      <c r="AY82">
        <v>4.3099999999999996</v>
      </c>
      <c r="AZ82">
        <v>8.5</v>
      </c>
      <c r="BA82">
        <v>7.3</v>
      </c>
      <c r="BB82">
        <v>37</v>
      </c>
      <c r="BC82">
        <v>1.75</v>
      </c>
      <c r="BD82">
        <v>1.67</v>
      </c>
      <c r="BE82">
        <v>2.31</v>
      </c>
      <c r="BF82">
        <v>2.17</v>
      </c>
      <c r="BG82">
        <v>20</v>
      </c>
      <c r="BH82">
        <v>-1</v>
      </c>
      <c r="BI82">
        <v>1.78</v>
      </c>
      <c r="BJ82">
        <v>1.73</v>
      </c>
      <c r="BK82">
        <v>2.2000000000000002</v>
      </c>
      <c r="BL82">
        <v>2.15</v>
      </c>
      <c r="BM82">
        <v>1.5</v>
      </c>
      <c r="BN82">
        <v>4.4400000000000004</v>
      </c>
      <c r="BO82">
        <v>6.22</v>
      </c>
    </row>
    <row r="83" spans="1:67">
      <c r="A83" t="s">
        <v>63</v>
      </c>
      <c r="B83" s="77">
        <v>41573</v>
      </c>
      <c r="C83" t="s">
        <v>64</v>
      </c>
      <c r="D83" t="s">
        <v>72</v>
      </c>
      <c r="E83">
        <v>1</v>
      </c>
      <c r="F83">
        <v>0</v>
      </c>
      <c r="G83" t="s">
        <v>70</v>
      </c>
      <c r="H83">
        <v>0</v>
      </c>
      <c r="I83">
        <v>0</v>
      </c>
      <c r="J83" t="s">
        <v>67</v>
      </c>
      <c r="K83">
        <v>14</v>
      </c>
      <c r="L83">
        <v>8</v>
      </c>
      <c r="M83">
        <v>6</v>
      </c>
      <c r="N83">
        <v>0</v>
      </c>
      <c r="O83">
        <v>22</v>
      </c>
      <c r="P83">
        <v>18</v>
      </c>
      <c r="Q83">
        <v>3</v>
      </c>
      <c r="R83">
        <v>5</v>
      </c>
      <c r="S83">
        <v>4</v>
      </c>
      <c r="T83">
        <v>2</v>
      </c>
      <c r="U83">
        <v>0</v>
      </c>
      <c r="V83">
        <v>1</v>
      </c>
      <c r="W83">
        <v>2.2999999999999998</v>
      </c>
      <c r="X83">
        <v>3.2</v>
      </c>
      <c r="Y83">
        <v>3.2</v>
      </c>
      <c r="Z83">
        <v>2.2999999999999998</v>
      </c>
      <c r="AA83">
        <v>3.1</v>
      </c>
      <c r="AB83">
        <v>3.25</v>
      </c>
      <c r="AC83">
        <v>2.2999999999999998</v>
      </c>
      <c r="AD83">
        <v>3.2</v>
      </c>
      <c r="AE83">
        <v>3</v>
      </c>
      <c r="AF83">
        <v>2.2999999999999998</v>
      </c>
      <c r="AG83">
        <v>3.25</v>
      </c>
      <c r="AH83">
        <v>3.1</v>
      </c>
      <c r="AI83">
        <v>2.4500000000000002</v>
      </c>
      <c r="AJ83">
        <v>3.21</v>
      </c>
      <c r="AK83">
        <v>3.33</v>
      </c>
      <c r="AL83">
        <v>2.4</v>
      </c>
      <c r="AM83">
        <v>3.1</v>
      </c>
      <c r="AN83">
        <v>3.1</v>
      </c>
      <c r="AO83">
        <v>2.38</v>
      </c>
      <c r="AP83">
        <v>3.13</v>
      </c>
      <c r="AQ83">
        <v>3</v>
      </c>
      <c r="AR83">
        <v>2.4500000000000002</v>
      </c>
      <c r="AS83">
        <v>3.2</v>
      </c>
      <c r="AT83">
        <v>3.3</v>
      </c>
      <c r="AU83">
        <v>38</v>
      </c>
      <c r="AV83">
        <v>2.4500000000000002</v>
      </c>
      <c r="AW83">
        <v>2.36</v>
      </c>
      <c r="AX83">
        <v>3.25</v>
      </c>
      <c r="AY83">
        <v>3.13</v>
      </c>
      <c r="AZ83">
        <v>3.38</v>
      </c>
      <c r="BA83">
        <v>3.13</v>
      </c>
      <c r="BB83">
        <v>37</v>
      </c>
      <c r="BC83">
        <v>2.4700000000000002</v>
      </c>
      <c r="BD83">
        <v>2.3199999999999998</v>
      </c>
      <c r="BE83">
        <v>1.67</v>
      </c>
      <c r="BF83">
        <v>1.59</v>
      </c>
      <c r="BG83">
        <v>19</v>
      </c>
      <c r="BH83">
        <v>-0.25</v>
      </c>
      <c r="BI83">
        <v>2.08</v>
      </c>
      <c r="BJ83">
        <v>2.0299999999999998</v>
      </c>
      <c r="BK83">
        <v>1.88</v>
      </c>
      <c r="BL83">
        <v>1.84</v>
      </c>
      <c r="BM83">
        <v>2.35</v>
      </c>
      <c r="BN83">
        <v>3.25</v>
      </c>
      <c r="BO83">
        <v>3.49</v>
      </c>
    </row>
    <row r="84" spans="1:67">
      <c r="A84" t="s">
        <v>63</v>
      </c>
      <c r="B84" s="77">
        <v>41574</v>
      </c>
      <c r="C84" t="s">
        <v>80</v>
      </c>
      <c r="D84" t="s">
        <v>77</v>
      </c>
      <c r="E84">
        <v>1</v>
      </c>
      <c r="F84">
        <v>0</v>
      </c>
      <c r="G84" t="s">
        <v>70</v>
      </c>
      <c r="H84">
        <v>1</v>
      </c>
      <c r="I84">
        <v>0</v>
      </c>
      <c r="J84" t="s">
        <v>70</v>
      </c>
      <c r="K84">
        <v>9</v>
      </c>
      <c r="L84">
        <v>13</v>
      </c>
      <c r="M84">
        <v>4</v>
      </c>
      <c r="N84">
        <v>2</v>
      </c>
      <c r="O84">
        <v>20</v>
      </c>
      <c r="P84">
        <v>13</v>
      </c>
      <c r="Q84">
        <v>5</v>
      </c>
      <c r="R84">
        <v>6</v>
      </c>
      <c r="S84">
        <v>2</v>
      </c>
      <c r="T84">
        <v>2</v>
      </c>
      <c r="U84">
        <v>0</v>
      </c>
      <c r="V84">
        <v>0</v>
      </c>
      <c r="W84">
        <v>2</v>
      </c>
      <c r="X84">
        <v>3.3</v>
      </c>
      <c r="Y84">
        <v>3.8</v>
      </c>
      <c r="Z84">
        <v>2.0499999999999998</v>
      </c>
      <c r="AA84">
        <v>3.2</v>
      </c>
      <c r="AB84">
        <v>3.8</v>
      </c>
      <c r="AC84">
        <v>2.1</v>
      </c>
      <c r="AD84">
        <v>3.3</v>
      </c>
      <c r="AE84">
        <v>3.3</v>
      </c>
      <c r="AF84">
        <v>2.1</v>
      </c>
      <c r="AG84">
        <v>3.25</v>
      </c>
      <c r="AH84">
        <v>3.5</v>
      </c>
      <c r="AI84">
        <v>2.0699999999999998</v>
      </c>
      <c r="AJ84">
        <v>3.38</v>
      </c>
      <c r="AK84">
        <v>4.1399999999999997</v>
      </c>
      <c r="AL84">
        <v>2.1</v>
      </c>
      <c r="AM84">
        <v>3.2</v>
      </c>
      <c r="AN84">
        <v>3.6</v>
      </c>
      <c r="AO84">
        <v>2.0499999999999998</v>
      </c>
      <c r="AP84">
        <v>3.2</v>
      </c>
      <c r="AQ84">
        <v>3.6</v>
      </c>
      <c r="AR84">
        <v>2.1</v>
      </c>
      <c r="AS84">
        <v>3.3</v>
      </c>
      <c r="AT84">
        <v>4</v>
      </c>
      <c r="AU84">
        <v>38</v>
      </c>
      <c r="AV84">
        <v>2.1</v>
      </c>
      <c r="AW84">
        <v>2.0499999999999998</v>
      </c>
      <c r="AX84">
        <v>3.38</v>
      </c>
      <c r="AY84">
        <v>3.25</v>
      </c>
      <c r="AZ84">
        <v>4.1399999999999997</v>
      </c>
      <c r="BA84">
        <v>3.73</v>
      </c>
      <c r="BB84">
        <v>37</v>
      </c>
      <c r="BC84">
        <v>2.2000000000000002</v>
      </c>
      <c r="BD84">
        <v>2.11</v>
      </c>
      <c r="BE84">
        <v>1.78</v>
      </c>
      <c r="BF84">
        <v>1.71</v>
      </c>
      <c r="BG84">
        <v>19</v>
      </c>
      <c r="BH84">
        <v>-0.5</v>
      </c>
      <c r="BI84">
        <v>2.12</v>
      </c>
      <c r="BJ84">
        <v>2.06</v>
      </c>
      <c r="BK84">
        <v>1.88</v>
      </c>
      <c r="BL84">
        <v>1.83</v>
      </c>
      <c r="BM84">
        <v>1.98</v>
      </c>
      <c r="BN84">
        <v>3.37</v>
      </c>
      <c r="BO84">
        <v>4.5599999999999996</v>
      </c>
    </row>
    <row r="85" spans="1:67">
      <c r="A85" t="s">
        <v>63</v>
      </c>
      <c r="B85" s="77">
        <v>41574</v>
      </c>
      <c r="C85" t="s">
        <v>86</v>
      </c>
      <c r="D85" t="s">
        <v>84</v>
      </c>
      <c r="E85">
        <v>0</v>
      </c>
      <c r="F85">
        <v>0</v>
      </c>
      <c r="G85" t="s">
        <v>67</v>
      </c>
      <c r="H85">
        <v>0</v>
      </c>
      <c r="I85">
        <v>0</v>
      </c>
      <c r="J85" t="s">
        <v>67</v>
      </c>
      <c r="K85">
        <v>14</v>
      </c>
      <c r="L85">
        <v>12</v>
      </c>
      <c r="M85">
        <v>4</v>
      </c>
      <c r="N85">
        <v>1</v>
      </c>
      <c r="O85">
        <v>19</v>
      </c>
      <c r="P85">
        <v>12</v>
      </c>
      <c r="Q85">
        <v>5</v>
      </c>
      <c r="R85">
        <v>2</v>
      </c>
      <c r="S85">
        <v>1</v>
      </c>
      <c r="T85">
        <v>2</v>
      </c>
      <c r="U85">
        <v>0</v>
      </c>
      <c r="V85">
        <v>0</v>
      </c>
      <c r="W85">
        <v>1.83</v>
      </c>
      <c r="X85">
        <v>3.5</v>
      </c>
      <c r="Y85">
        <v>4.33</v>
      </c>
      <c r="Z85">
        <v>1.8</v>
      </c>
      <c r="AA85">
        <v>3.6</v>
      </c>
      <c r="AB85">
        <v>4.33</v>
      </c>
      <c r="AC85">
        <v>1.8</v>
      </c>
      <c r="AD85">
        <v>3.5</v>
      </c>
      <c r="AE85">
        <v>4.2</v>
      </c>
      <c r="AF85">
        <v>1.9</v>
      </c>
      <c r="AG85">
        <v>3.4</v>
      </c>
      <c r="AH85">
        <v>4</v>
      </c>
      <c r="AI85">
        <v>1.88</v>
      </c>
      <c r="AJ85">
        <v>3.53</v>
      </c>
      <c r="AK85">
        <v>4.8899999999999997</v>
      </c>
      <c r="AL85">
        <v>1.91</v>
      </c>
      <c r="AM85">
        <v>3.1</v>
      </c>
      <c r="AN85">
        <v>4.5</v>
      </c>
      <c r="AO85">
        <v>1.83</v>
      </c>
      <c r="AP85">
        <v>3.3</v>
      </c>
      <c r="AQ85">
        <v>4.33</v>
      </c>
      <c r="AR85">
        <v>1.9</v>
      </c>
      <c r="AS85">
        <v>3.5</v>
      </c>
      <c r="AT85">
        <v>4.5999999999999996</v>
      </c>
      <c r="AU85">
        <v>38</v>
      </c>
      <c r="AV85">
        <v>1.91</v>
      </c>
      <c r="AW85">
        <v>1.85</v>
      </c>
      <c r="AX85">
        <v>3.53</v>
      </c>
      <c r="AY85">
        <v>3.37</v>
      </c>
      <c r="AZ85">
        <v>4.8899999999999997</v>
      </c>
      <c r="BA85">
        <v>4.38</v>
      </c>
      <c r="BB85">
        <v>37</v>
      </c>
      <c r="BC85">
        <v>2.06</v>
      </c>
      <c r="BD85">
        <v>1.97</v>
      </c>
      <c r="BE85">
        <v>1.91</v>
      </c>
      <c r="BF85">
        <v>1.81</v>
      </c>
      <c r="BG85">
        <v>19</v>
      </c>
      <c r="BH85">
        <v>-0.5</v>
      </c>
      <c r="BI85">
        <v>1.91</v>
      </c>
      <c r="BJ85">
        <v>1.87</v>
      </c>
      <c r="BK85">
        <v>2.0699999999999998</v>
      </c>
      <c r="BL85">
        <v>2</v>
      </c>
      <c r="BM85">
        <v>2.2400000000000002</v>
      </c>
      <c r="BN85">
        <v>3.35</v>
      </c>
      <c r="BO85">
        <v>3.63</v>
      </c>
    </row>
    <row r="86" spans="1:67">
      <c r="A86" t="s">
        <v>63</v>
      </c>
      <c r="B86" s="77">
        <v>41574</v>
      </c>
      <c r="C86" t="s">
        <v>82</v>
      </c>
      <c r="D86" t="s">
        <v>85</v>
      </c>
      <c r="E86">
        <v>1</v>
      </c>
      <c r="F86">
        <v>2</v>
      </c>
      <c r="G86" t="s">
        <v>66</v>
      </c>
      <c r="H86">
        <v>1</v>
      </c>
      <c r="I86">
        <v>1</v>
      </c>
      <c r="J86" t="s">
        <v>67</v>
      </c>
      <c r="K86">
        <v>9</v>
      </c>
      <c r="L86">
        <v>15</v>
      </c>
      <c r="M86">
        <v>2</v>
      </c>
      <c r="N86">
        <v>4</v>
      </c>
      <c r="O86">
        <v>15</v>
      </c>
      <c r="P86">
        <v>8</v>
      </c>
      <c r="Q86">
        <v>3</v>
      </c>
      <c r="R86">
        <v>6</v>
      </c>
      <c r="S86">
        <v>4</v>
      </c>
      <c r="T86">
        <v>3</v>
      </c>
      <c r="U86">
        <v>0</v>
      </c>
      <c r="V86">
        <v>0</v>
      </c>
      <c r="W86">
        <v>3.8</v>
      </c>
      <c r="X86">
        <v>3.4</v>
      </c>
      <c r="Y86">
        <v>2</v>
      </c>
      <c r="Z86">
        <v>3.9</v>
      </c>
      <c r="AA86">
        <v>3.4</v>
      </c>
      <c r="AB86">
        <v>1.95</v>
      </c>
      <c r="AC86">
        <v>3.8</v>
      </c>
      <c r="AD86">
        <v>3.45</v>
      </c>
      <c r="AE86">
        <v>1.9</v>
      </c>
      <c r="AF86">
        <v>3.75</v>
      </c>
      <c r="AG86">
        <v>3.4</v>
      </c>
      <c r="AH86">
        <v>2</v>
      </c>
      <c r="AI86">
        <v>4</v>
      </c>
      <c r="AJ86">
        <v>3.49</v>
      </c>
      <c r="AK86">
        <v>2.0699999999999998</v>
      </c>
      <c r="AL86">
        <v>3.6</v>
      </c>
      <c r="AM86">
        <v>3.2</v>
      </c>
      <c r="AN86">
        <v>2.1</v>
      </c>
      <c r="AO86">
        <v>3.6</v>
      </c>
      <c r="AP86">
        <v>3.25</v>
      </c>
      <c r="AQ86">
        <v>2</v>
      </c>
      <c r="AR86">
        <v>3.8</v>
      </c>
      <c r="AS86">
        <v>3.5</v>
      </c>
      <c r="AT86">
        <v>2.1</v>
      </c>
      <c r="AU86">
        <v>36</v>
      </c>
      <c r="AV86">
        <v>4</v>
      </c>
      <c r="AW86">
        <v>3.68</v>
      </c>
      <c r="AX86">
        <v>3.5</v>
      </c>
      <c r="AY86">
        <v>3.3</v>
      </c>
      <c r="AZ86">
        <v>2.1</v>
      </c>
      <c r="BA86">
        <v>2.0299999999999998</v>
      </c>
      <c r="BB86">
        <v>35</v>
      </c>
      <c r="BC86">
        <v>2.16</v>
      </c>
      <c r="BD86">
        <v>2.0699999999999998</v>
      </c>
      <c r="BE86">
        <v>1.8</v>
      </c>
      <c r="BF86">
        <v>1.73</v>
      </c>
      <c r="BG86">
        <v>17</v>
      </c>
      <c r="BH86">
        <v>0.5</v>
      </c>
      <c r="BI86">
        <v>1.88</v>
      </c>
      <c r="BJ86">
        <v>1.82</v>
      </c>
      <c r="BK86">
        <v>2.11</v>
      </c>
      <c r="BL86">
        <v>2.06</v>
      </c>
      <c r="BM86">
        <v>4.12</v>
      </c>
      <c r="BN86">
        <v>3.7</v>
      </c>
      <c r="BO86">
        <v>1.97</v>
      </c>
    </row>
    <row r="87" spans="1:67">
      <c r="A87" t="s">
        <v>63</v>
      </c>
      <c r="B87" s="77">
        <v>41574</v>
      </c>
      <c r="C87" t="s">
        <v>65</v>
      </c>
      <c r="D87" t="s">
        <v>74</v>
      </c>
      <c r="E87">
        <v>2</v>
      </c>
      <c r="F87">
        <v>0</v>
      </c>
      <c r="G87" t="s">
        <v>70</v>
      </c>
      <c r="H87">
        <v>2</v>
      </c>
      <c r="I87">
        <v>0</v>
      </c>
      <c r="J87" t="s">
        <v>70</v>
      </c>
      <c r="K87">
        <v>24</v>
      </c>
      <c r="L87">
        <v>6</v>
      </c>
      <c r="M87">
        <v>9</v>
      </c>
      <c r="N87">
        <v>0</v>
      </c>
      <c r="O87">
        <v>15</v>
      </c>
      <c r="P87">
        <v>9</v>
      </c>
      <c r="Q87">
        <v>6</v>
      </c>
      <c r="R87">
        <v>2</v>
      </c>
      <c r="S87">
        <v>1</v>
      </c>
      <c r="T87">
        <v>1</v>
      </c>
      <c r="U87">
        <v>0</v>
      </c>
      <c r="V87">
        <v>0</v>
      </c>
      <c r="W87">
        <v>1.2</v>
      </c>
      <c r="X87">
        <v>6</v>
      </c>
      <c r="Y87">
        <v>15</v>
      </c>
      <c r="Z87">
        <v>1.2</v>
      </c>
      <c r="AA87">
        <v>6.75</v>
      </c>
      <c r="AB87">
        <v>12</v>
      </c>
      <c r="AC87">
        <v>1.2</v>
      </c>
      <c r="AD87">
        <v>5.8</v>
      </c>
      <c r="AE87">
        <v>13</v>
      </c>
      <c r="AF87">
        <v>1.25</v>
      </c>
      <c r="AG87">
        <v>5.5</v>
      </c>
      <c r="AH87">
        <v>12</v>
      </c>
      <c r="AI87">
        <v>1.22</v>
      </c>
      <c r="AJ87">
        <v>6.9</v>
      </c>
      <c r="AK87">
        <v>18.5</v>
      </c>
      <c r="AL87">
        <v>1.22</v>
      </c>
      <c r="AM87">
        <v>5.5</v>
      </c>
      <c r="AN87">
        <v>15</v>
      </c>
      <c r="AO87">
        <v>1.2</v>
      </c>
      <c r="AP87">
        <v>6</v>
      </c>
      <c r="AQ87">
        <v>12</v>
      </c>
      <c r="AR87">
        <v>1.22</v>
      </c>
      <c r="AS87">
        <v>6.5</v>
      </c>
      <c r="AT87">
        <v>15</v>
      </c>
      <c r="AU87">
        <v>38</v>
      </c>
      <c r="AV87">
        <v>1.25</v>
      </c>
      <c r="AW87">
        <v>1.21</v>
      </c>
      <c r="AX87">
        <v>6.9</v>
      </c>
      <c r="AY87">
        <v>6.17</v>
      </c>
      <c r="AZ87">
        <v>18.5</v>
      </c>
      <c r="BA87">
        <v>13.35</v>
      </c>
      <c r="BB87">
        <v>28</v>
      </c>
      <c r="BC87">
        <v>1.64</v>
      </c>
      <c r="BD87">
        <v>1.56</v>
      </c>
      <c r="BE87">
        <v>2.4</v>
      </c>
      <c r="BF87">
        <v>2.31</v>
      </c>
      <c r="BG87">
        <v>20</v>
      </c>
      <c r="BH87">
        <v>-1.5</v>
      </c>
      <c r="BI87">
        <v>1.72</v>
      </c>
      <c r="BJ87">
        <v>1.69</v>
      </c>
      <c r="BK87">
        <v>2.2799999999999998</v>
      </c>
      <c r="BL87">
        <v>2.2200000000000002</v>
      </c>
      <c r="BM87">
        <v>1.2</v>
      </c>
      <c r="BN87">
        <v>7.12</v>
      </c>
      <c r="BO87">
        <v>20.420000000000002</v>
      </c>
    </row>
    <row r="88" spans="1:67">
      <c r="A88" t="s">
        <v>63</v>
      </c>
      <c r="B88" s="77">
        <v>41574</v>
      </c>
      <c r="C88" t="s">
        <v>75</v>
      </c>
      <c r="D88" t="s">
        <v>71</v>
      </c>
      <c r="E88">
        <v>2</v>
      </c>
      <c r="F88">
        <v>0</v>
      </c>
      <c r="G88" t="s">
        <v>70</v>
      </c>
      <c r="H88">
        <v>0</v>
      </c>
      <c r="I88">
        <v>0</v>
      </c>
      <c r="J88" t="s">
        <v>67</v>
      </c>
      <c r="K88">
        <v>12</v>
      </c>
      <c r="L88">
        <v>12</v>
      </c>
      <c r="M88">
        <v>3</v>
      </c>
      <c r="N88">
        <v>4</v>
      </c>
      <c r="O88">
        <v>17</v>
      </c>
      <c r="P88">
        <v>14</v>
      </c>
      <c r="Q88">
        <v>4</v>
      </c>
      <c r="R88">
        <v>5</v>
      </c>
      <c r="S88">
        <v>1</v>
      </c>
      <c r="T88">
        <v>1</v>
      </c>
      <c r="U88">
        <v>0</v>
      </c>
      <c r="V88">
        <v>0</v>
      </c>
      <c r="W88">
        <v>1.83</v>
      </c>
      <c r="X88">
        <v>3.4</v>
      </c>
      <c r="Y88">
        <v>4.5</v>
      </c>
      <c r="Z88">
        <v>1.78</v>
      </c>
      <c r="AA88">
        <v>3.5</v>
      </c>
      <c r="AB88">
        <v>4.5999999999999996</v>
      </c>
      <c r="AC88">
        <v>1.7</v>
      </c>
      <c r="AD88">
        <v>3.6</v>
      </c>
      <c r="AE88">
        <v>4.7</v>
      </c>
      <c r="AF88">
        <v>1.8</v>
      </c>
      <c r="AG88">
        <v>3.5</v>
      </c>
      <c r="AH88">
        <v>4.5</v>
      </c>
      <c r="AI88">
        <v>1.88</v>
      </c>
      <c r="AJ88">
        <v>3.56</v>
      </c>
      <c r="AK88">
        <v>4.79</v>
      </c>
      <c r="AL88">
        <v>1.85</v>
      </c>
      <c r="AM88">
        <v>3.3</v>
      </c>
      <c r="AN88">
        <v>4.5</v>
      </c>
      <c r="AO88">
        <v>1.83</v>
      </c>
      <c r="AP88">
        <v>3.4</v>
      </c>
      <c r="AQ88">
        <v>4.33</v>
      </c>
      <c r="AR88">
        <v>1.87</v>
      </c>
      <c r="AS88">
        <v>3.5</v>
      </c>
      <c r="AT88">
        <v>4.8</v>
      </c>
      <c r="AU88">
        <v>36</v>
      </c>
      <c r="AV88">
        <v>1.91</v>
      </c>
      <c r="AW88">
        <v>1.83</v>
      </c>
      <c r="AX88">
        <v>3.6</v>
      </c>
      <c r="AY88">
        <v>3.42</v>
      </c>
      <c r="AZ88">
        <v>4.8</v>
      </c>
      <c r="BA88">
        <v>4.41</v>
      </c>
      <c r="BB88">
        <v>35</v>
      </c>
      <c r="BC88">
        <v>2.2200000000000002</v>
      </c>
      <c r="BD88">
        <v>2.08</v>
      </c>
      <c r="BE88">
        <v>1.78</v>
      </c>
      <c r="BF88">
        <v>1.72</v>
      </c>
      <c r="BG88">
        <v>17</v>
      </c>
      <c r="BH88">
        <v>-0.5</v>
      </c>
      <c r="BI88">
        <v>1.88</v>
      </c>
      <c r="BJ88">
        <v>1.85</v>
      </c>
      <c r="BK88">
        <v>2.0699999999999998</v>
      </c>
      <c r="BL88">
        <v>2.0299999999999998</v>
      </c>
      <c r="BM88">
        <v>1.92</v>
      </c>
      <c r="BN88">
        <v>3.52</v>
      </c>
      <c r="BO88">
        <v>4.6500000000000004</v>
      </c>
    </row>
    <row r="89" spans="1:67">
      <c r="A89" t="s">
        <v>63</v>
      </c>
      <c r="B89" s="77">
        <v>41574</v>
      </c>
      <c r="C89" t="s">
        <v>79</v>
      </c>
      <c r="D89" t="s">
        <v>83</v>
      </c>
      <c r="E89">
        <v>2</v>
      </c>
      <c r="F89">
        <v>0</v>
      </c>
      <c r="G89" t="s">
        <v>70</v>
      </c>
      <c r="H89">
        <v>2</v>
      </c>
      <c r="I89">
        <v>0</v>
      </c>
      <c r="J89" t="s">
        <v>70</v>
      </c>
      <c r="K89">
        <v>21</v>
      </c>
      <c r="L89">
        <v>9</v>
      </c>
      <c r="M89">
        <v>7</v>
      </c>
      <c r="N89">
        <v>3</v>
      </c>
      <c r="O89">
        <v>13</v>
      </c>
      <c r="P89">
        <v>9</v>
      </c>
      <c r="Q89">
        <v>7</v>
      </c>
      <c r="R89">
        <v>4</v>
      </c>
      <c r="S89">
        <v>1</v>
      </c>
      <c r="T89">
        <v>0</v>
      </c>
      <c r="U89">
        <v>0</v>
      </c>
      <c r="V89">
        <v>1</v>
      </c>
      <c r="W89">
        <v>1.33</v>
      </c>
      <c r="X89">
        <v>5</v>
      </c>
      <c r="Y89">
        <v>8.5</v>
      </c>
      <c r="Z89">
        <v>1.31</v>
      </c>
      <c r="AA89">
        <v>5</v>
      </c>
      <c r="AB89">
        <v>9.75</v>
      </c>
      <c r="AC89">
        <v>1.35</v>
      </c>
      <c r="AD89">
        <v>4.8</v>
      </c>
      <c r="AE89">
        <v>7.6</v>
      </c>
      <c r="AF89">
        <v>1.36</v>
      </c>
      <c r="AG89">
        <v>4.5</v>
      </c>
      <c r="AH89">
        <v>9</v>
      </c>
      <c r="AI89">
        <v>1.37</v>
      </c>
      <c r="AJ89">
        <v>5.19</v>
      </c>
      <c r="AK89">
        <v>10.46</v>
      </c>
      <c r="AL89">
        <v>1.36</v>
      </c>
      <c r="AM89">
        <v>4.5</v>
      </c>
      <c r="AN89">
        <v>9</v>
      </c>
      <c r="AO89">
        <v>1.33</v>
      </c>
      <c r="AP89">
        <v>4.5</v>
      </c>
      <c r="AQ89">
        <v>8.5</v>
      </c>
      <c r="AR89">
        <v>1.36</v>
      </c>
      <c r="AS89">
        <v>5</v>
      </c>
      <c r="AT89">
        <v>10</v>
      </c>
      <c r="AU89">
        <v>37</v>
      </c>
      <c r="AV89">
        <v>1.38</v>
      </c>
      <c r="AW89">
        <v>1.35</v>
      </c>
      <c r="AX89">
        <v>5.34</v>
      </c>
      <c r="AY89">
        <v>4.72</v>
      </c>
      <c r="AZ89">
        <v>10.46</v>
      </c>
      <c r="BA89">
        <v>9.1300000000000008</v>
      </c>
      <c r="BB89">
        <v>36</v>
      </c>
      <c r="BC89">
        <v>1.77</v>
      </c>
      <c r="BD89">
        <v>1.68</v>
      </c>
      <c r="BE89">
        <v>2.25</v>
      </c>
      <c r="BF89">
        <v>2.14</v>
      </c>
      <c r="BG89">
        <v>19</v>
      </c>
      <c r="BH89">
        <v>-1.5</v>
      </c>
      <c r="BI89">
        <v>2.14</v>
      </c>
      <c r="BJ89">
        <v>2.0699999999999998</v>
      </c>
      <c r="BK89">
        <v>1.87</v>
      </c>
      <c r="BL89">
        <v>1.79</v>
      </c>
      <c r="BM89">
        <v>1.41</v>
      </c>
      <c r="BN89">
        <v>5.28</v>
      </c>
      <c r="BO89">
        <v>8.3000000000000007</v>
      </c>
    </row>
    <row r="90" spans="1:67">
      <c r="A90" t="s">
        <v>63</v>
      </c>
      <c r="B90" s="77">
        <v>41574</v>
      </c>
      <c r="C90" t="s">
        <v>81</v>
      </c>
      <c r="D90" t="s">
        <v>69</v>
      </c>
      <c r="E90">
        <v>3</v>
      </c>
      <c r="F90">
        <v>2</v>
      </c>
      <c r="G90" t="s">
        <v>70</v>
      </c>
      <c r="H90">
        <v>2</v>
      </c>
      <c r="I90">
        <v>0</v>
      </c>
      <c r="J90" t="s">
        <v>70</v>
      </c>
      <c r="K90">
        <v>16</v>
      </c>
      <c r="L90">
        <v>16</v>
      </c>
      <c r="M90">
        <v>8</v>
      </c>
      <c r="N90">
        <v>5</v>
      </c>
      <c r="O90">
        <v>14</v>
      </c>
      <c r="P90">
        <v>10</v>
      </c>
      <c r="Q90">
        <v>3</v>
      </c>
      <c r="R90">
        <v>6</v>
      </c>
      <c r="S90">
        <v>3</v>
      </c>
      <c r="T90">
        <v>3</v>
      </c>
      <c r="U90">
        <v>0</v>
      </c>
      <c r="V90">
        <v>0</v>
      </c>
      <c r="W90">
        <v>3.3</v>
      </c>
      <c r="X90">
        <v>3.3</v>
      </c>
      <c r="Y90">
        <v>2.2000000000000002</v>
      </c>
      <c r="Z90">
        <v>3.25</v>
      </c>
      <c r="AA90">
        <v>3.3</v>
      </c>
      <c r="AB90">
        <v>2.2000000000000002</v>
      </c>
      <c r="AC90">
        <v>3.1</v>
      </c>
      <c r="AD90">
        <v>3.3</v>
      </c>
      <c r="AE90">
        <v>2.2000000000000002</v>
      </c>
      <c r="AF90">
        <v>3.1</v>
      </c>
      <c r="AG90">
        <v>3.4</v>
      </c>
      <c r="AH90">
        <v>2.25</v>
      </c>
      <c r="AI90">
        <v>3.42</v>
      </c>
      <c r="AJ90">
        <v>3.5</v>
      </c>
      <c r="AK90">
        <v>2.27</v>
      </c>
      <c r="AL90">
        <v>3.2</v>
      </c>
      <c r="AM90">
        <v>3.2</v>
      </c>
      <c r="AN90">
        <v>2.2999999999999998</v>
      </c>
      <c r="AO90">
        <v>3.13</v>
      </c>
      <c r="AP90">
        <v>3.13</v>
      </c>
      <c r="AQ90">
        <v>2.25</v>
      </c>
      <c r="AR90">
        <v>3.25</v>
      </c>
      <c r="AS90">
        <v>3.4</v>
      </c>
      <c r="AT90">
        <v>2.2999999999999998</v>
      </c>
      <c r="AU90">
        <v>38</v>
      </c>
      <c r="AV90">
        <v>3.42</v>
      </c>
      <c r="AW90">
        <v>3.2</v>
      </c>
      <c r="AX90">
        <v>3.5</v>
      </c>
      <c r="AY90">
        <v>3.25</v>
      </c>
      <c r="AZ90">
        <v>2.34</v>
      </c>
      <c r="BA90">
        <v>2.2599999999999998</v>
      </c>
      <c r="BB90">
        <v>37</v>
      </c>
      <c r="BC90">
        <v>1.96</v>
      </c>
      <c r="BD90">
        <v>1.87</v>
      </c>
      <c r="BE90">
        <v>1.97</v>
      </c>
      <c r="BF90">
        <v>1.91</v>
      </c>
      <c r="BG90">
        <v>19</v>
      </c>
      <c r="BH90">
        <v>0.25</v>
      </c>
      <c r="BI90">
        <v>1.98</v>
      </c>
      <c r="BJ90">
        <v>1.91</v>
      </c>
      <c r="BK90">
        <v>2</v>
      </c>
      <c r="BL90">
        <v>1.96</v>
      </c>
      <c r="BM90">
        <v>3.32</v>
      </c>
      <c r="BN90">
        <v>3.57</v>
      </c>
      <c r="BO90">
        <v>2.2799999999999998</v>
      </c>
    </row>
    <row r="91" spans="1:67">
      <c r="A91" t="s">
        <v>63</v>
      </c>
      <c r="B91" s="77">
        <v>41574</v>
      </c>
      <c r="C91" t="s">
        <v>76</v>
      </c>
      <c r="D91" t="s">
        <v>78</v>
      </c>
      <c r="E91">
        <v>0</v>
      </c>
      <c r="F91">
        <v>1</v>
      </c>
      <c r="G91" t="s">
        <v>66</v>
      </c>
      <c r="H91">
        <v>0</v>
      </c>
      <c r="I91">
        <v>0</v>
      </c>
      <c r="J91" t="s">
        <v>67</v>
      </c>
      <c r="K91">
        <v>13</v>
      </c>
      <c r="L91">
        <v>15</v>
      </c>
      <c r="M91">
        <v>3</v>
      </c>
      <c r="N91">
        <v>5</v>
      </c>
      <c r="O91">
        <v>16</v>
      </c>
      <c r="P91">
        <v>12</v>
      </c>
      <c r="Q91">
        <v>4</v>
      </c>
      <c r="R91">
        <v>8</v>
      </c>
      <c r="S91">
        <v>4</v>
      </c>
      <c r="T91">
        <v>3</v>
      </c>
      <c r="U91">
        <v>0</v>
      </c>
      <c r="V91">
        <v>1</v>
      </c>
      <c r="W91">
        <v>3.3</v>
      </c>
      <c r="X91">
        <v>3.4</v>
      </c>
      <c r="Y91">
        <v>2.15</v>
      </c>
      <c r="Z91">
        <v>3.4</v>
      </c>
      <c r="AA91">
        <v>3.3</v>
      </c>
      <c r="AB91">
        <v>2.15</v>
      </c>
      <c r="AC91">
        <v>3.6</v>
      </c>
      <c r="AD91">
        <v>3.3</v>
      </c>
      <c r="AE91">
        <v>2</v>
      </c>
      <c r="AF91">
        <v>3.2</v>
      </c>
      <c r="AG91">
        <v>3.25</v>
      </c>
      <c r="AH91">
        <v>2.25</v>
      </c>
      <c r="AI91">
        <v>3.42</v>
      </c>
      <c r="AJ91">
        <v>3.34</v>
      </c>
      <c r="AK91">
        <v>2.34</v>
      </c>
      <c r="AL91">
        <v>3.2</v>
      </c>
      <c r="AM91">
        <v>3.2</v>
      </c>
      <c r="AN91">
        <v>2.2999999999999998</v>
      </c>
      <c r="AO91">
        <v>3.13</v>
      </c>
      <c r="AP91">
        <v>3.2</v>
      </c>
      <c r="AQ91">
        <v>2.2000000000000002</v>
      </c>
      <c r="AR91">
        <v>3.3</v>
      </c>
      <c r="AS91">
        <v>3.4</v>
      </c>
      <c r="AT91">
        <v>2.2999999999999998</v>
      </c>
      <c r="AU91">
        <v>38</v>
      </c>
      <c r="AV91">
        <v>3.6</v>
      </c>
      <c r="AW91">
        <v>3.29</v>
      </c>
      <c r="AX91">
        <v>3.4</v>
      </c>
      <c r="AY91">
        <v>3.26</v>
      </c>
      <c r="AZ91">
        <v>2.34</v>
      </c>
      <c r="BA91">
        <v>2.21</v>
      </c>
      <c r="BB91">
        <v>37</v>
      </c>
      <c r="BC91">
        <v>2.02</v>
      </c>
      <c r="BD91">
        <v>1.92</v>
      </c>
      <c r="BE91">
        <v>1.91</v>
      </c>
      <c r="BF91">
        <v>1.86</v>
      </c>
      <c r="BG91">
        <v>19</v>
      </c>
      <c r="BH91">
        <v>0.25</v>
      </c>
      <c r="BI91">
        <v>1.94</v>
      </c>
      <c r="BJ91">
        <v>1.91</v>
      </c>
      <c r="BK91">
        <v>2.0099999999999998</v>
      </c>
      <c r="BL91">
        <v>1.96</v>
      </c>
      <c r="BM91">
        <v>3.22</v>
      </c>
      <c r="BN91">
        <v>3.34</v>
      </c>
      <c r="BO91">
        <v>2.4300000000000002</v>
      </c>
    </row>
    <row r="92" spans="1:67">
      <c r="A92" t="s">
        <v>63</v>
      </c>
      <c r="B92" s="77">
        <v>41576</v>
      </c>
      <c r="C92" t="s">
        <v>72</v>
      </c>
      <c r="D92" t="s">
        <v>73</v>
      </c>
      <c r="E92">
        <v>1</v>
      </c>
      <c r="F92">
        <v>1</v>
      </c>
      <c r="G92" t="s">
        <v>67</v>
      </c>
      <c r="H92">
        <v>1</v>
      </c>
      <c r="I92">
        <v>1</v>
      </c>
      <c r="J92" t="s">
        <v>67</v>
      </c>
      <c r="K92">
        <v>12</v>
      </c>
      <c r="L92">
        <v>13</v>
      </c>
      <c r="M92">
        <v>8</v>
      </c>
      <c r="N92">
        <v>4</v>
      </c>
      <c r="O92">
        <v>11</v>
      </c>
      <c r="P92">
        <v>14</v>
      </c>
      <c r="Q92">
        <v>8</v>
      </c>
      <c r="R92">
        <v>7</v>
      </c>
      <c r="S92">
        <v>3</v>
      </c>
      <c r="T92">
        <v>1</v>
      </c>
      <c r="U92">
        <v>0</v>
      </c>
      <c r="V92">
        <v>0</v>
      </c>
      <c r="W92">
        <v>3.8</v>
      </c>
      <c r="X92">
        <v>3.3</v>
      </c>
      <c r="Y92">
        <v>2</v>
      </c>
      <c r="Z92">
        <v>3.75</v>
      </c>
      <c r="AA92">
        <v>3.4</v>
      </c>
      <c r="AB92">
        <v>1.95</v>
      </c>
      <c r="AC92">
        <v>3.6</v>
      </c>
      <c r="AD92">
        <v>3.3</v>
      </c>
      <c r="AE92">
        <v>2</v>
      </c>
      <c r="AF92">
        <v>3.5</v>
      </c>
      <c r="AG92">
        <v>3.3</v>
      </c>
      <c r="AH92">
        <v>2.1</v>
      </c>
      <c r="AI92">
        <v>4.04</v>
      </c>
      <c r="AJ92">
        <v>3.49</v>
      </c>
      <c r="AK92">
        <v>2.0499999999999998</v>
      </c>
      <c r="AL92">
        <v>3.5</v>
      </c>
      <c r="AM92">
        <v>3.5</v>
      </c>
      <c r="AN92">
        <v>2.0499999999999998</v>
      </c>
      <c r="AO92">
        <v>3.6</v>
      </c>
      <c r="AP92">
        <v>3.3</v>
      </c>
      <c r="AQ92">
        <v>2</v>
      </c>
      <c r="AR92">
        <v>3.75</v>
      </c>
      <c r="AS92">
        <v>3.5</v>
      </c>
      <c r="AT92">
        <v>2.1</v>
      </c>
      <c r="AU92">
        <v>39</v>
      </c>
      <c r="AV92">
        <v>4.04</v>
      </c>
      <c r="AW92">
        <v>3.72</v>
      </c>
      <c r="AX92">
        <v>3.5</v>
      </c>
      <c r="AY92">
        <v>3.37</v>
      </c>
      <c r="AZ92">
        <v>2.1</v>
      </c>
      <c r="BA92">
        <v>2.0299999999999998</v>
      </c>
      <c r="BB92">
        <v>38</v>
      </c>
      <c r="BC92">
        <v>1.95</v>
      </c>
      <c r="BD92">
        <v>1.88</v>
      </c>
      <c r="BE92">
        <v>2</v>
      </c>
      <c r="BF92">
        <v>1.9</v>
      </c>
      <c r="BG92">
        <v>19</v>
      </c>
      <c r="BH92">
        <v>0.5</v>
      </c>
      <c r="BI92">
        <v>1.88</v>
      </c>
      <c r="BJ92">
        <v>1.83</v>
      </c>
      <c r="BK92">
        <v>2.11</v>
      </c>
      <c r="BL92">
        <v>2.06</v>
      </c>
      <c r="BM92">
        <v>4.17</v>
      </c>
      <c r="BN92">
        <v>3.32</v>
      </c>
      <c r="BO92">
        <v>2.09</v>
      </c>
    </row>
    <row r="93" spans="1:67">
      <c r="A93" t="s">
        <v>63</v>
      </c>
      <c r="B93" s="77">
        <v>41577</v>
      </c>
      <c r="C93" t="s">
        <v>71</v>
      </c>
      <c r="D93" t="s">
        <v>80</v>
      </c>
      <c r="E93">
        <v>0</v>
      </c>
      <c r="F93">
        <v>3</v>
      </c>
      <c r="G93" t="s">
        <v>66</v>
      </c>
      <c r="H93">
        <v>0</v>
      </c>
      <c r="I93">
        <v>1</v>
      </c>
      <c r="J93" t="s">
        <v>66</v>
      </c>
      <c r="K93">
        <v>11</v>
      </c>
      <c r="L93">
        <v>17</v>
      </c>
      <c r="M93">
        <v>2</v>
      </c>
      <c r="N93">
        <v>5</v>
      </c>
      <c r="O93">
        <v>17</v>
      </c>
      <c r="P93">
        <v>21</v>
      </c>
      <c r="Q93">
        <v>7</v>
      </c>
      <c r="R93">
        <v>3</v>
      </c>
      <c r="S93">
        <v>2</v>
      </c>
      <c r="T93">
        <v>3</v>
      </c>
      <c r="U93">
        <v>1</v>
      </c>
      <c r="V93">
        <v>0</v>
      </c>
      <c r="W93">
        <v>1.75</v>
      </c>
      <c r="X93">
        <v>3.5</v>
      </c>
      <c r="Y93">
        <v>4.75</v>
      </c>
      <c r="Z93">
        <v>1.75</v>
      </c>
      <c r="AA93">
        <v>3.55</v>
      </c>
      <c r="AB93">
        <v>4.5999999999999996</v>
      </c>
      <c r="AC93">
        <v>1.8</v>
      </c>
      <c r="AD93">
        <v>3.5</v>
      </c>
      <c r="AE93">
        <v>4.2</v>
      </c>
      <c r="AF93">
        <v>1.83</v>
      </c>
      <c r="AG93">
        <v>3.4</v>
      </c>
      <c r="AH93">
        <v>4.5</v>
      </c>
      <c r="AI93">
        <v>1.83</v>
      </c>
      <c r="AJ93">
        <v>3.45</v>
      </c>
      <c r="AK93">
        <v>5.43</v>
      </c>
      <c r="AL93">
        <v>1.8</v>
      </c>
      <c r="AM93">
        <v>3.4</v>
      </c>
      <c r="AN93">
        <v>4.75</v>
      </c>
      <c r="AO93">
        <v>1.8</v>
      </c>
      <c r="AP93">
        <v>3.4</v>
      </c>
      <c r="AQ93">
        <v>4.5</v>
      </c>
      <c r="AR93">
        <v>1.83</v>
      </c>
      <c r="AS93">
        <v>3.5</v>
      </c>
      <c r="AT93">
        <v>5</v>
      </c>
      <c r="AU93">
        <v>39</v>
      </c>
      <c r="AV93">
        <v>1.83</v>
      </c>
      <c r="AW93">
        <v>1.79</v>
      </c>
      <c r="AX93">
        <v>3.54</v>
      </c>
      <c r="AY93">
        <v>3.42</v>
      </c>
      <c r="AZ93">
        <v>5.45</v>
      </c>
      <c r="BA93">
        <v>4.74</v>
      </c>
      <c r="BB93">
        <v>38</v>
      </c>
      <c r="BC93">
        <v>2.2200000000000002</v>
      </c>
      <c r="BD93">
        <v>2.08</v>
      </c>
      <c r="BE93">
        <v>1.77</v>
      </c>
      <c r="BF93">
        <v>1.72</v>
      </c>
      <c r="BG93">
        <v>20</v>
      </c>
      <c r="BH93">
        <v>-0.5</v>
      </c>
      <c r="BI93">
        <v>1.83</v>
      </c>
      <c r="BJ93">
        <v>1.78</v>
      </c>
      <c r="BK93">
        <v>2.15</v>
      </c>
      <c r="BL93">
        <v>2.0699999999999998</v>
      </c>
      <c r="BM93">
        <v>1.66</v>
      </c>
      <c r="BN93">
        <v>3.81</v>
      </c>
      <c r="BO93">
        <v>6.45</v>
      </c>
    </row>
    <row r="94" spans="1:67">
      <c r="A94" t="s">
        <v>63</v>
      </c>
      <c r="B94" s="77">
        <v>41577</v>
      </c>
      <c r="C94" t="s">
        <v>85</v>
      </c>
      <c r="D94" t="s">
        <v>79</v>
      </c>
      <c r="E94">
        <v>1</v>
      </c>
      <c r="F94">
        <v>2</v>
      </c>
      <c r="G94" t="s">
        <v>66</v>
      </c>
      <c r="H94">
        <v>1</v>
      </c>
      <c r="I94">
        <v>2</v>
      </c>
      <c r="J94" t="s">
        <v>66</v>
      </c>
      <c r="K94">
        <v>11</v>
      </c>
      <c r="L94">
        <v>4</v>
      </c>
      <c r="M94">
        <v>3</v>
      </c>
      <c r="N94">
        <v>2</v>
      </c>
      <c r="O94">
        <v>22</v>
      </c>
      <c r="P94">
        <v>16</v>
      </c>
      <c r="Q94">
        <v>9</v>
      </c>
      <c r="R94">
        <v>3</v>
      </c>
      <c r="S94">
        <v>2</v>
      </c>
      <c r="T94">
        <v>3</v>
      </c>
      <c r="U94">
        <v>1</v>
      </c>
      <c r="V94">
        <v>1</v>
      </c>
      <c r="W94">
        <v>2.5</v>
      </c>
      <c r="X94">
        <v>3.3</v>
      </c>
      <c r="Y94">
        <v>2.8</v>
      </c>
      <c r="Z94">
        <v>2.5</v>
      </c>
      <c r="AA94">
        <v>3.4</v>
      </c>
      <c r="AB94">
        <v>2.65</v>
      </c>
      <c r="AC94">
        <v>2.5</v>
      </c>
      <c r="AD94">
        <v>3.3</v>
      </c>
      <c r="AE94">
        <v>2.65</v>
      </c>
      <c r="AF94">
        <v>2.4</v>
      </c>
      <c r="AG94">
        <v>3.4</v>
      </c>
      <c r="AH94">
        <v>2.8</v>
      </c>
      <c r="AI94">
        <v>2.65</v>
      </c>
      <c r="AJ94">
        <v>3.37</v>
      </c>
      <c r="AK94">
        <v>2.87</v>
      </c>
      <c r="AL94">
        <v>2.62</v>
      </c>
      <c r="AM94">
        <v>3.2</v>
      </c>
      <c r="AN94">
        <v>2.7</v>
      </c>
      <c r="AO94">
        <v>2.6</v>
      </c>
      <c r="AP94">
        <v>3.2</v>
      </c>
      <c r="AQ94">
        <v>2.63</v>
      </c>
      <c r="AR94">
        <v>2.63</v>
      </c>
      <c r="AS94">
        <v>3.5</v>
      </c>
      <c r="AT94">
        <v>2.8</v>
      </c>
      <c r="AU94">
        <v>39</v>
      </c>
      <c r="AV94">
        <v>2.66</v>
      </c>
      <c r="AW94">
        <v>2.56</v>
      </c>
      <c r="AX94">
        <v>3.5</v>
      </c>
      <c r="AY94">
        <v>3.28</v>
      </c>
      <c r="AZ94">
        <v>2.88</v>
      </c>
      <c r="BA94">
        <v>2.73</v>
      </c>
      <c r="BB94">
        <v>38</v>
      </c>
      <c r="BC94">
        <v>1.94</v>
      </c>
      <c r="BD94">
        <v>1.85</v>
      </c>
      <c r="BE94">
        <v>2.02</v>
      </c>
      <c r="BF94">
        <v>1.94</v>
      </c>
      <c r="BG94">
        <v>20</v>
      </c>
      <c r="BH94">
        <v>0</v>
      </c>
      <c r="BI94">
        <v>1.92</v>
      </c>
      <c r="BJ94">
        <v>1.87</v>
      </c>
      <c r="BK94">
        <v>2.11</v>
      </c>
      <c r="BL94">
        <v>1.98</v>
      </c>
      <c r="BM94">
        <v>2.54</v>
      </c>
      <c r="BN94">
        <v>3.37</v>
      </c>
      <c r="BO94">
        <v>3.05</v>
      </c>
    </row>
    <row r="95" spans="1:67">
      <c r="A95" t="s">
        <v>63</v>
      </c>
      <c r="B95" s="77">
        <v>41577</v>
      </c>
      <c r="C95" t="s">
        <v>74</v>
      </c>
      <c r="D95" t="s">
        <v>81</v>
      </c>
      <c r="E95">
        <v>1</v>
      </c>
      <c r="F95">
        <v>0</v>
      </c>
      <c r="G95" t="s">
        <v>70</v>
      </c>
      <c r="H95">
        <v>0</v>
      </c>
      <c r="I95">
        <v>0</v>
      </c>
      <c r="J95" t="s">
        <v>67</v>
      </c>
      <c r="K95">
        <v>5</v>
      </c>
      <c r="L95">
        <v>10</v>
      </c>
      <c r="M95">
        <v>5</v>
      </c>
      <c r="N95">
        <v>3</v>
      </c>
      <c r="O95">
        <v>14</v>
      </c>
      <c r="P95">
        <v>12</v>
      </c>
      <c r="Q95">
        <v>2</v>
      </c>
      <c r="R95">
        <v>3</v>
      </c>
      <c r="S95">
        <v>3</v>
      </c>
      <c r="T95">
        <v>2</v>
      </c>
      <c r="U95">
        <v>0</v>
      </c>
      <c r="V95">
        <v>0</v>
      </c>
      <c r="W95">
        <v>2.4</v>
      </c>
      <c r="X95">
        <v>3.2</v>
      </c>
      <c r="Y95">
        <v>3</v>
      </c>
      <c r="Z95">
        <v>2.4</v>
      </c>
      <c r="AA95">
        <v>3.2</v>
      </c>
      <c r="AB95">
        <v>2.95</v>
      </c>
      <c r="AC95">
        <v>2.2999999999999998</v>
      </c>
      <c r="AD95">
        <v>3.2</v>
      </c>
      <c r="AE95">
        <v>3</v>
      </c>
      <c r="AF95">
        <v>2.4</v>
      </c>
      <c r="AG95">
        <v>3.3</v>
      </c>
      <c r="AH95">
        <v>2.88</v>
      </c>
      <c r="AI95">
        <v>2.54</v>
      </c>
      <c r="AJ95">
        <v>3.27</v>
      </c>
      <c r="AK95">
        <v>3.12</v>
      </c>
      <c r="AL95">
        <v>2.5</v>
      </c>
      <c r="AM95">
        <v>3.2</v>
      </c>
      <c r="AN95">
        <v>2.88</v>
      </c>
      <c r="AO95">
        <v>2.4</v>
      </c>
      <c r="AP95">
        <v>3.13</v>
      </c>
      <c r="AQ95">
        <v>2.88</v>
      </c>
      <c r="AR95">
        <v>2.5499999999999998</v>
      </c>
      <c r="AS95">
        <v>3.3</v>
      </c>
      <c r="AT95">
        <v>3</v>
      </c>
      <c r="AU95">
        <v>39</v>
      </c>
      <c r="AV95">
        <v>2.57</v>
      </c>
      <c r="AW95">
        <v>2.4500000000000002</v>
      </c>
      <c r="AX95">
        <v>3.4</v>
      </c>
      <c r="AY95">
        <v>3.21</v>
      </c>
      <c r="AZ95">
        <v>3.12</v>
      </c>
      <c r="BA95">
        <v>2.94</v>
      </c>
      <c r="BB95">
        <v>38</v>
      </c>
      <c r="BC95">
        <v>2.17</v>
      </c>
      <c r="BD95">
        <v>2.0699999999999998</v>
      </c>
      <c r="BE95">
        <v>1.82</v>
      </c>
      <c r="BF95">
        <v>1.74</v>
      </c>
      <c r="BG95">
        <v>20</v>
      </c>
      <c r="BH95">
        <v>0</v>
      </c>
      <c r="BI95">
        <v>1.78</v>
      </c>
      <c r="BJ95">
        <v>1.74</v>
      </c>
      <c r="BK95">
        <v>2.2000000000000002</v>
      </c>
      <c r="BL95">
        <v>2.12</v>
      </c>
      <c r="BM95">
        <v>2.68</v>
      </c>
      <c r="BN95">
        <v>3.4</v>
      </c>
      <c r="BO95">
        <v>2.83</v>
      </c>
    </row>
    <row r="96" spans="1:67">
      <c r="A96" t="s">
        <v>63</v>
      </c>
      <c r="B96" s="77">
        <v>41577</v>
      </c>
      <c r="C96" t="s">
        <v>65</v>
      </c>
      <c r="D96" t="s">
        <v>86</v>
      </c>
      <c r="E96">
        <v>4</v>
      </c>
      <c r="F96">
        <v>0</v>
      </c>
      <c r="G96" t="s">
        <v>70</v>
      </c>
      <c r="H96">
        <v>2</v>
      </c>
      <c r="I96">
        <v>0</v>
      </c>
      <c r="J96" t="s">
        <v>70</v>
      </c>
      <c r="K96">
        <v>23</v>
      </c>
      <c r="L96">
        <v>7</v>
      </c>
      <c r="M96">
        <v>10</v>
      </c>
      <c r="N96">
        <v>1</v>
      </c>
      <c r="O96">
        <v>14</v>
      </c>
      <c r="P96">
        <v>11</v>
      </c>
      <c r="Q96">
        <v>9</v>
      </c>
      <c r="R96">
        <v>5</v>
      </c>
      <c r="S96">
        <v>2</v>
      </c>
      <c r="T96">
        <v>0</v>
      </c>
      <c r="U96">
        <v>0</v>
      </c>
      <c r="V96">
        <v>1</v>
      </c>
      <c r="W96">
        <v>1.18</v>
      </c>
      <c r="X96">
        <v>6.25</v>
      </c>
      <c r="Y96">
        <v>17</v>
      </c>
      <c r="Z96">
        <v>1.17</v>
      </c>
      <c r="AA96">
        <v>6.75</v>
      </c>
      <c r="AB96">
        <v>15</v>
      </c>
      <c r="AC96">
        <v>1.17</v>
      </c>
      <c r="AD96">
        <v>6.5</v>
      </c>
      <c r="AE96">
        <v>14</v>
      </c>
      <c r="AF96">
        <v>1.2</v>
      </c>
      <c r="AG96">
        <v>6.5</v>
      </c>
      <c r="AH96">
        <v>13</v>
      </c>
      <c r="AI96">
        <v>1.19</v>
      </c>
      <c r="AJ96">
        <v>7.5</v>
      </c>
      <c r="AK96">
        <v>22</v>
      </c>
      <c r="AL96">
        <v>1.2</v>
      </c>
      <c r="AM96">
        <v>6.5</v>
      </c>
      <c r="AN96">
        <v>13</v>
      </c>
      <c r="AO96">
        <v>1.17</v>
      </c>
      <c r="AP96">
        <v>6.5</v>
      </c>
      <c r="AQ96">
        <v>13</v>
      </c>
      <c r="AR96">
        <v>1.18</v>
      </c>
      <c r="AS96">
        <v>7.5</v>
      </c>
      <c r="AT96">
        <v>22</v>
      </c>
      <c r="AU96">
        <v>39</v>
      </c>
      <c r="AV96">
        <v>1.2</v>
      </c>
      <c r="AW96">
        <v>1.18</v>
      </c>
      <c r="AX96">
        <v>7.5</v>
      </c>
      <c r="AY96">
        <v>6.69</v>
      </c>
      <c r="AZ96">
        <v>24.3</v>
      </c>
      <c r="BA96">
        <v>15.8</v>
      </c>
      <c r="BB96">
        <v>29</v>
      </c>
      <c r="BC96">
        <v>1.65</v>
      </c>
      <c r="BD96">
        <v>1.58</v>
      </c>
      <c r="BE96">
        <v>2.38</v>
      </c>
      <c r="BF96">
        <v>2.2799999999999998</v>
      </c>
      <c r="BG96">
        <v>21</v>
      </c>
      <c r="BH96">
        <v>-2</v>
      </c>
      <c r="BI96">
        <v>2.0299999999999998</v>
      </c>
      <c r="BJ96">
        <v>1.99</v>
      </c>
      <c r="BK96">
        <v>1.95</v>
      </c>
      <c r="BL96">
        <v>1.87</v>
      </c>
      <c r="BM96">
        <v>1.1499999999999999</v>
      </c>
      <c r="BN96">
        <v>8.6</v>
      </c>
      <c r="BO96">
        <v>29</v>
      </c>
    </row>
    <row r="97" spans="1:67">
      <c r="A97" t="s">
        <v>63</v>
      </c>
      <c r="B97" s="77">
        <v>41577</v>
      </c>
      <c r="C97" t="s">
        <v>77</v>
      </c>
      <c r="D97" t="s">
        <v>83</v>
      </c>
      <c r="E97">
        <v>3</v>
      </c>
      <c r="F97">
        <v>3</v>
      </c>
      <c r="G97" t="s">
        <v>67</v>
      </c>
      <c r="H97">
        <v>2</v>
      </c>
      <c r="I97">
        <v>2</v>
      </c>
      <c r="J97" t="s">
        <v>67</v>
      </c>
      <c r="K97">
        <v>19</v>
      </c>
      <c r="L97">
        <v>13</v>
      </c>
      <c r="M97">
        <v>6</v>
      </c>
      <c r="N97">
        <v>7</v>
      </c>
      <c r="O97">
        <v>13</v>
      </c>
      <c r="P97">
        <v>18</v>
      </c>
      <c r="Q97">
        <v>8</v>
      </c>
      <c r="R97">
        <v>8</v>
      </c>
      <c r="S97">
        <v>6</v>
      </c>
      <c r="T97">
        <v>5</v>
      </c>
      <c r="U97">
        <v>0</v>
      </c>
      <c r="V97">
        <v>0</v>
      </c>
      <c r="W97">
        <v>2.8</v>
      </c>
      <c r="X97">
        <v>3.1</v>
      </c>
      <c r="Y97">
        <v>2.6</v>
      </c>
      <c r="Z97">
        <v>2.7</v>
      </c>
      <c r="AA97">
        <v>3.2</v>
      </c>
      <c r="AB97">
        <v>2.6</v>
      </c>
      <c r="AC97">
        <v>2.6</v>
      </c>
      <c r="AD97">
        <v>3.2</v>
      </c>
      <c r="AE97">
        <v>2.6</v>
      </c>
      <c r="AF97">
        <v>2.62</v>
      </c>
      <c r="AG97">
        <v>3.25</v>
      </c>
      <c r="AH97">
        <v>2.62</v>
      </c>
      <c r="AI97">
        <v>2.78</v>
      </c>
      <c r="AJ97">
        <v>3.28</v>
      </c>
      <c r="AK97">
        <v>2.82</v>
      </c>
      <c r="AL97">
        <v>2.7</v>
      </c>
      <c r="AM97">
        <v>3.1</v>
      </c>
      <c r="AN97">
        <v>2.7</v>
      </c>
      <c r="AO97">
        <v>2.75</v>
      </c>
      <c r="AP97">
        <v>3</v>
      </c>
      <c r="AQ97">
        <v>2.63</v>
      </c>
      <c r="AR97">
        <v>2.8</v>
      </c>
      <c r="AS97">
        <v>3.25</v>
      </c>
      <c r="AT97">
        <v>2.8</v>
      </c>
      <c r="AU97">
        <v>38</v>
      </c>
      <c r="AV97">
        <v>2.88</v>
      </c>
      <c r="AW97">
        <v>2.74</v>
      </c>
      <c r="AX97">
        <v>3.26</v>
      </c>
      <c r="AY97">
        <v>3.13</v>
      </c>
      <c r="AZ97">
        <v>2.82</v>
      </c>
      <c r="BA97">
        <v>2.65</v>
      </c>
      <c r="BB97">
        <v>37</v>
      </c>
      <c r="BC97">
        <v>2.37</v>
      </c>
      <c r="BD97">
        <v>2.2400000000000002</v>
      </c>
      <c r="BE97">
        <v>1.68</v>
      </c>
      <c r="BF97">
        <v>1.63</v>
      </c>
      <c r="BG97">
        <v>20</v>
      </c>
      <c r="BH97">
        <v>0</v>
      </c>
      <c r="BI97">
        <v>2.0099999999999998</v>
      </c>
      <c r="BJ97">
        <v>1.93</v>
      </c>
      <c r="BK97">
        <v>1.96</v>
      </c>
      <c r="BL97">
        <v>1.9</v>
      </c>
      <c r="BM97">
        <v>2.62</v>
      </c>
      <c r="BN97">
        <v>3.32</v>
      </c>
      <c r="BO97">
        <v>2.96</v>
      </c>
    </row>
    <row r="98" spans="1:67">
      <c r="A98" t="s">
        <v>63</v>
      </c>
      <c r="B98" s="77">
        <v>41577</v>
      </c>
      <c r="C98" t="s">
        <v>69</v>
      </c>
      <c r="D98" t="s">
        <v>75</v>
      </c>
      <c r="E98">
        <v>1</v>
      </c>
      <c r="F98">
        <v>1</v>
      </c>
      <c r="G98" t="s">
        <v>67</v>
      </c>
      <c r="H98">
        <v>0</v>
      </c>
      <c r="I98">
        <v>0</v>
      </c>
      <c r="J98" t="s">
        <v>67</v>
      </c>
      <c r="K98">
        <v>18</v>
      </c>
      <c r="L98">
        <v>5</v>
      </c>
      <c r="M98">
        <v>5</v>
      </c>
      <c r="N98">
        <v>3</v>
      </c>
      <c r="O98">
        <v>12</v>
      </c>
      <c r="P98">
        <v>19</v>
      </c>
      <c r="Q98">
        <v>4</v>
      </c>
      <c r="R98">
        <v>3</v>
      </c>
      <c r="S98">
        <v>4</v>
      </c>
      <c r="T98">
        <v>2</v>
      </c>
      <c r="U98">
        <v>0</v>
      </c>
      <c r="V98">
        <v>0</v>
      </c>
      <c r="W98">
        <v>1.73</v>
      </c>
      <c r="X98">
        <v>3.5</v>
      </c>
      <c r="Y98">
        <v>5</v>
      </c>
      <c r="Z98">
        <v>1.72</v>
      </c>
      <c r="AA98">
        <v>3.6</v>
      </c>
      <c r="AB98">
        <v>4.75</v>
      </c>
      <c r="AC98">
        <v>1.7</v>
      </c>
      <c r="AD98">
        <v>3.6</v>
      </c>
      <c r="AE98">
        <v>4.7</v>
      </c>
      <c r="AF98">
        <v>1.73</v>
      </c>
      <c r="AG98">
        <v>3.6</v>
      </c>
      <c r="AH98">
        <v>4.8</v>
      </c>
      <c r="AI98">
        <v>1.76</v>
      </c>
      <c r="AJ98">
        <v>3.69</v>
      </c>
      <c r="AK98">
        <v>5.47</v>
      </c>
      <c r="AL98">
        <v>1.8</v>
      </c>
      <c r="AM98">
        <v>3.6</v>
      </c>
      <c r="AN98">
        <v>4.4000000000000004</v>
      </c>
      <c r="AO98">
        <v>1.73</v>
      </c>
      <c r="AP98">
        <v>3.5</v>
      </c>
      <c r="AQ98">
        <v>4.8</v>
      </c>
      <c r="AR98">
        <v>1.75</v>
      </c>
      <c r="AS98">
        <v>3.6</v>
      </c>
      <c r="AT98">
        <v>5.25</v>
      </c>
      <c r="AU98">
        <v>39</v>
      </c>
      <c r="AV98">
        <v>1.8</v>
      </c>
      <c r="AW98">
        <v>1.75</v>
      </c>
      <c r="AX98">
        <v>3.69</v>
      </c>
      <c r="AY98">
        <v>3.55</v>
      </c>
      <c r="AZ98">
        <v>5.47</v>
      </c>
      <c r="BA98">
        <v>4.8499999999999996</v>
      </c>
      <c r="BB98">
        <v>38</v>
      </c>
      <c r="BC98">
        <v>2.02</v>
      </c>
      <c r="BD98">
        <v>1.93</v>
      </c>
      <c r="BE98">
        <v>1.94</v>
      </c>
      <c r="BF98">
        <v>1.86</v>
      </c>
      <c r="BG98">
        <v>20</v>
      </c>
      <c r="BH98">
        <v>-1</v>
      </c>
      <c r="BI98">
        <v>2.4500000000000002</v>
      </c>
      <c r="BJ98">
        <v>2.36</v>
      </c>
      <c r="BK98">
        <v>1.65</v>
      </c>
      <c r="BL98">
        <v>1.61</v>
      </c>
      <c r="BM98">
        <v>1.71</v>
      </c>
      <c r="BN98">
        <v>3.77</v>
      </c>
      <c r="BO98">
        <v>5.85</v>
      </c>
    </row>
    <row r="99" spans="1:67">
      <c r="A99" t="s">
        <v>63</v>
      </c>
      <c r="B99" s="77">
        <v>41577</v>
      </c>
      <c r="C99" t="s">
        <v>84</v>
      </c>
      <c r="D99" t="s">
        <v>76</v>
      </c>
      <c r="E99">
        <v>1</v>
      </c>
      <c r="F99">
        <v>2</v>
      </c>
      <c r="G99" t="s">
        <v>66</v>
      </c>
      <c r="H99">
        <v>1</v>
      </c>
      <c r="I99">
        <v>1</v>
      </c>
      <c r="J99" t="s">
        <v>67</v>
      </c>
      <c r="K99">
        <v>15</v>
      </c>
      <c r="L99">
        <v>9</v>
      </c>
      <c r="M99">
        <v>7</v>
      </c>
      <c r="N99">
        <v>4</v>
      </c>
      <c r="O99">
        <v>16</v>
      </c>
      <c r="P99">
        <v>22</v>
      </c>
      <c r="Q99">
        <v>6</v>
      </c>
      <c r="R99">
        <v>4</v>
      </c>
      <c r="S99">
        <v>3</v>
      </c>
      <c r="T99">
        <v>2</v>
      </c>
      <c r="U99">
        <v>1</v>
      </c>
      <c r="V99">
        <v>0</v>
      </c>
      <c r="W99">
        <v>2.88</v>
      </c>
      <c r="X99">
        <v>3.3</v>
      </c>
      <c r="Y99">
        <v>2.4</v>
      </c>
      <c r="Z99">
        <v>2.85</v>
      </c>
      <c r="AA99">
        <v>3.3</v>
      </c>
      <c r="AB99">
        <v>2.4</v>
      </c>
      <c r="AC99">
        <v>3</v>
      </c>
      <c r="AD99">
        <v>3.2</v>
      </c>
      <c r="AE99">
        <v>2.2999999999999998</v>
      </c>
      <c r="AF99">
        <v>2.9</v>
      </c>
      <c r="AG99">
        <v>3.3</v>
      </c>
      <c r="AH99">
        <v>2.38</v>
      </c>
      <c r="AI99">
        <v>3.31</v>
      </c>
      <c r="AJ99">
        <v>3.21</v>
      </c>
      <c r="AK99">
        <v>2.4700000000000002</v>
      </c>
      <c r="AL99">
        <v>3.1</v>
      </c>
      <c r="AM99">
        <v>3.1</v>
      </c>
      <c r="AN99">
        <v>2.4</v>
      </c>
      <c r="AO99">
        <v>2.88</v>
      </c>
      <c r="AP99">
        <v>3.2</v>
      </c>
      <c r="AQ99">
        <v>2.38</v>
      </c>
      <c r="AR99">
        <v>3.1</v>
      </c>
      <c r="AS99">
        <v>3.3</v>
      </c>
      <c r="AT99">
        <v>2.5</v>
      </c>
      <c r="AU99">
        <v>38</v>
      </c>
      <c r="AV99">
        <v>3.31</v>
      </c>
      <c r="AW99">
        <v>3</v>
      </c>
      <c r="AX99">
        <v>3.3</v>
      </c>
      <c r="AY99">
        <v>3.23</v>
      </c>
      <c r="AZ99">
        <v>2.5</v>
      </c>
      <c r="BA99">
        <v>2.39</v>
      </c>
      <c r="BB99">
        <v>37</v>
      </c>
      <c r="BC99">
        <v>2.14</v>
      </c>
      <c r="BD99">
        <v>2.0099999999999998</v>
      </c>
      <c r="BE99">
        <v>1.83</v>
      </c>
      <c r="BF99">
        <v>1.78</v>
      </c>
      <c r="BG99">
        <v>19</v>
      </c>
      <c r="BH99">
        <v>0</v>
      </c>
      <c r="BI99">
        <v>2.2999999999999998</v>
      </c>
      <c r="BJ99">
        <v>2.2000000000000002</v>
      </c>
      <c r="BK99">
        <v>1.73</v>
      </c>
      <c r="BL99">
        <v>1.69</v>
      </c>
      <c r="BM99">
        <v>3.45</v>
      </c>
      <c r="BN99">
        <v>3.42</v>
      </c>
      <c r="BO99">
        <v>2.2799999999999998</v>
      </c>
    </row>
    <row r="100" spans="1:67">
      <c r="A100" t="s">
        <v>63</v>
      </c>
      <c r="B100" s="77">
        <v>41577</v>
      </c>
      <c r="C100" t="s">
        <v>68</v>
      </c>
      <c r="D100" t="s">
        <v>64</v>
      </c>
      <c r="E100">
        <v>2</v>
      </c>
      <c r="F100">
        <v>0</v>
      </c>
      <c r="G100" t="s">
        <v>70</v>
      </c>
      <c r="H100">
        <v>0</v>
      </c>
      <c r="I100">
        <v>0</v>
      </c>
      <c r="J100" t="s">
        <v>67</v>
      </c>
      <c r="K100">
        <v>12</v>
      </c>
      <c r="L100">
        <v>15</v>
      </c>
      <c r="M100">
        <v>5</v>
      </c>
      <c r="N100">
        <v>5</v>
      </c>
      <c r="O100">
        <v>12</v>
      </c>
      <c r="P100">
        <v>13</v>
      </c>
      <c r="Q100">
        <v>7</v>
      </c>
      <c r="R100">
        <v>3</v>
      </c>
      <c r="S100">
        <v>0</v>
      </c>
      <c r="T100">
        <v>1</v>
      </c>
      <c r="U100">
        <v>0</v>
      </c>
      <c r="V100">
        <v>0</v>
      </c>
      <c r="W100">
        <v>2</v>
      </c>
      <c r="X100">
        <v>3.4</v>
      </c>
      <c r="Y100">
        <v>3.75</v>
      </c>
      <c r="Z100">
        <v>2.0499999999999998</v>
      </c>
      <c r="AA100">
        <v>3.3</v>
      </c>
      <c r="AB100">
        <v>3.55</v>
      </c>
      <c r="AC100">
        <v>2</v>
      </c>
      <c r="AD100">
        <v>3.3</v>
      </c>
      <c r="AE100">
        <v>3.6</v>
      </c>
      <c r="AF100">
        <v>2.0499999999999998</v>
      </c>
      <c r="AG100">
        <v>3.4</v>
      </c>
      <c r="AH100">
        <v>3.5</v>
      </c>
      <c r="AI100">
        <v>2.11</v>
      </c>
      <c r="AJ100">
        <v>3.4</v>
      </c>
      <c r="AK100">
        <v>3.95</v>
      </c>
      <c r="AL100">
        <v>2.15</v>
      </c>
      <c r="AM100">
        <v>3.2</v>
      </c>
      <c r="AN100">
        <v>3.5</v>
      </c>
      <c r="AO100">
        <v>2.1</v>
      </c>
      <c r="AP100">
        <v>3.25</v>
      </c>
      <c r="AQ100">
        <v>3.4</v>
      </c>
      <c r="AR100">
        <v>2.2000000000000002</v>
      </c>
      <c r="AS100">
        <v>3.4</v>
      </c>
      <c r="AT100">
        <v>3.6</v>
      </c>
      <c r="AU100">
        <v>39</v>
      </c>
      <c r="AV100">
        <v>2.2000000000000002</v>
      </c>
      <c r="AW100">
        <v>2.09</v>
      </c>
      <c r="AX100">
        <v>3.44</v>
      </c>
      <c r="AY100">
        <v>3.29</v>
      </c>
      <c r="AZ100">
        <v>3.95</v>
      </c>
      <c r="BA100">
        <v>3.55</v>
      </c>
      <c r="BB100">
        <v>38</v>
      </c>
      <c r="BC100">
        <v>2.06</v>
      </c>
      <c r="BD100">
        <v>1.97</v>
      </c>
      <c r="BE100">
        <v>1.9</v>
      </c>
      <c r="BF100">
        <v>1.82</v>
      </c>
      <c r="BG100">
        <v>20</v>
      </c>
      <c r="BH100">
        <v>-0.5</v>
      </c>
      <c r="BI100">
        <v>2.15</v>
      </c>
      <c r="BJ100">
        <v>2.09</v>
      </c>
      <c r="BK100">
        <v>1.83</v>
      </c>
      <c r="BL100">
        <v>1.76</v>
      </c>
      <c r="BM100">
        <v>2.2200000000000002</v>
      </c>
      <c r="BN100">
        <v>3.4</v>
      </c>
      <c r="BO100">
        <v>3.63</v>
      </c>
    </row>
    <row r="101" spans="1:67">
      <c r="A101" t="s">
        <v>63</v>
      </c>
      <c r="B101" s="77">
        <v>41578</v>
      </c>
      <c r="C101" t="s">
        <v>78</v>
      </c>
      <c r="D101" t="s">
        <v>82</v>
      </c>
      <c r="E101">
        <v>1</v>
      </c>
      <c r="F101">
        <v>0</v>
      </c>
      <c r="G101" t="s">
        <v>70</v>
      </c>
      <c r="H101">
        <v>0</v>
      </c>
      <c r="I101">
        <v>0</v>
      </c>
      <c r="J101" t="s">
        <v>67</v>
      </c>
      <c r="K101">
        <v>18</v>
      </c>
      <c r="L101">
        <v>2</v>
      </c>
      <c r="M101">
        <v>3</v>
      </c>
      <c r="N101">
        <v>1</v>
      </c>
      <c r="O101">
        <v>12</v>
      </c>
      <c r="P101">
        <v>19</v>
      </c>
      <c r="Q101">
        <v>10</v>
      </c>
      <c r="R101">
        <v>1</v>
      </c>
      <c r="S101">
        <v>3</v>
      </c>
      <c r="T101">
        <v>5</v>
      </c>
      <c r="U101">
        <v>0</v>
      </c>
      <c r="V101">
        <v>0</v>
      </c>
      <c r="W101">
        <v>1.22</v>
      </c>
      <c r="X101">
        <v>6</v>
      </c>
      <c r="Y101">
        <v>12</v>
      </c>
      <c r="Z101">
        <v>1.25</v>
      </c>
      <c r="AA101">
        <v>5.75</v>
      </c>
      <c r="AB101">
        <v>10.5</v>
      </c>
      <c r="AC101">
        <v>1.22</v>
      </c>
      <c r="AD101">
        <v>5.5</v>
      </c>
      <c r="AE101">
        <v>12</v>
      </c>
      <c r="AF101">
        <v>1.29</v>
      </c>
      <c r="AG101">
        <v>5</v>
      </c>
      <c r="AH101">
        <v>11</v>
      </c>
      <c r="AI101">
        <v>1.29</v>
      </c>
      <c r="AJ101">
        <v>5.78</v>
      </c>
      <c r="AK101">
        <v>13.73</v>
      </c>
      <c r="AL101">
        <v>1.29</v>
      </c>
      <c r="AM101">
        <v>5.5</v>
      </c>
      <c r="AN101">
        <v>9.5</v>
      </c>
      <c r="AO101">
        <v>1.25</v>
      </c>
      <c r="AP101">
        <v>5.5</v>
      </c>
      <c r="AQ101">
        <v>10</v>
      </c>
      <c r="AR101">
        <v>1.29</v>
      </c>
      <c r="AS101">
        <v>5.75</v>
      </c>
      <c r="AT101">
        <v>13</v>
      </c>
      <c r="AU101">
        <v>37</v>
      </c>
      <c r="AV101">
        <v>1.3</v>
      </c>
      <c r="AW101">
        <v>1.26</v>
      </c>
      <c r="AX101">
        <v>6.05</v>
      </c>
      <c r="AY101">
        <v>5.61</v>
      </c>
      <c r="AZ101">
        <v>13.73</v>
      </c>
      <c r="BA101">
        <v>10.88</v>
      </c>
      <c r="BB101">
        <v>36</v>
      </c>
      <c r="BC101">
        <v>1.77</v>
      </c>
      <c r="BD101">
        <v>1.67</v>
      </c>
      <c r="BE101">
        <v>2.25</v>
      </c>
      <c r="BF101">
        <v>2.16</v>
      </c>
      <c r="BG101">
        <v>19</v>
      </c>
      <c r="BH101">
        <v>-1.5</v>
      </c>
      <c r="BI101">
        <v>1.93</v>
      </c>
      <c r="BJ101">
        <v>1.88</v>
      </c>
      <c r="BK101">
        <v>2.0299999999999998</v>
      </c>
      <c r="BL101">
        <v>1.98</v>
      </c>
      <c r="BM101">
        <v>1.31</v>
      </c>
      <c r="BN101">
        <v>5.95</v>
      </c>
      <c r="BO101">
        <v>11.5</v>
      </c>
    </row>
    <row r="102" spans="1:67">
      <c r="A102" t="s">
        <v>63</v>
      </c>
      <c r="B102" s="77">
        <v>41580</v>
      </c>
      <c r="C102" t="s">
        <v>69</v>
      </c>
      <c r="D102" t="s">
        <v>85</v>
      </c>
      <c r="E102">
        <v>0</v>
      </c>
      <c r="F102">
        <v>2</v>
      </c>
      <c r="G102" t="s">
        <v>66</v>
      </c>
      <c r="H102">
        <v>0</v>
      </c>
      <c r="I102">
        <v>1</v>
      </c>
      <c r="J102" t="s">
        <v>66</v>
      </c>
      <c r="K102">
        <v>18</v>
      </c>
      <c r="L102">
        <v>4</v>
      </c>
      <c r="M102">
        <v>1</v>
      </c>
      <c r="N102">
        <v>2</v>
      </c>
      <c r="O102">
        <v>19</v>
      </c>
      <c r="P102">
        <v>12</v>
      </c>
      <c r="Q102">
        <v>10</v>
      </c>
      <c r="R102">
        <v>3</v>
      </c>
      <c r="S102">
        <v>1</v>
      </c>
      <c r="T102">
        <v>2</v>
      </c>
      <c r="U102">
        <v>0</v>
      </c>
      <c r="V102">
        <v>0</v>
      </c>
      <c r="W102">
        <v>2.0499999999999998</v>
      </c>
      <c r="X102">
        <v>3.5</v>
      </c>
      <c r="Y102">
        <v>3.5</v>
      </c>
      <c r="Z102">
        <v>2.0499999999999998</v>
      </c>
      <c r="AA102">
        <v>3.4</v>
      </c>
      <c r="AB102">
        <v>3.5</v>
      </c>
      <c r="AC102">
        <v>2</v>
      </c>
      <c r="AD102">
        <v>3.3</v>
      </c>
      <c r="AE102">
        <v>3.6</v>
      </c>
      <c r="AF102">
        <v>2.1</v>
      </c>
      <c r="AG102">
        <v>3.5</v>
      </c>
      <c r="AH102">
        <v>3.3</v>
      </c>
      <c r="AI102">
        <v>2.0699999999999998</v>
      </c>
      <c r="AJ102">
        <v>3.61</v>
      </c>
      <c r="AK102">
        <v>3.84</v>
      </c>
      <c r="AL102">
        <v>2.1</v>
      </c>
      <c r="AM102">
        <v>3.1</v>
      </c>
      <c r="AN102">
        <v>3.8</v>
      </c>
      <c r="AO102">
        <v>2</v>
      </c>
      <c r="AP102">
        <v>3.4</v>
      </c>
      <c r="AQ102">
        <v>3.5</v>
      </c>
      <c r="AR102">
        <v>2.1</v>
      </c>
      <c r="AS102">
        <v>3.5</v>
      </c>
      <c r="AT102">
        <v>3.75</v>
      </c>
      <c r="AU102">
        <v>37</v>
      </c>
      <c r="AV102">
        <v>2.1</v>
      </c>
      <c r="AW102">
        <v>2.04</v>
      </c>
      <c r="AX102">
        <v>3.75</v>
      </c>
      <c r="AY102">
        <v>3.39</v>
      </c>
      <c r="AZ102">
        <v>4</v>
      </c>
      <c r="BA102">
        <v>3.64</v>
      </c>
      <c r="BB102">
        <v>35</v>
      </c>
      <c r="BC102">
        <v>1.88</v>
      </c>
      <c r="BD102">
        <v>1.8</v>
      </c>
      <c r="BE102">
        <v>2.0699999999999998</v>
      </c>
      <c r="BF102">
        <v>1.99</v>
      </c>
      <c r="BG102">
        <v>19</v>
      </c>
      <c r="BH102">
        <v>-0.5</v>
      </c>
      <c r="BI102">
        <v>2.09</v>
      </c>
      <c r="BJ102">
        <v>2.04</v>
      </c>
      <c r="BK102">
        <v>1.88</v>
      </c>
      <c r="BL102">
        <v>1.84</v>
      </c>
      <c r="BM102">
        <v>1.85</v>
      </c>
      <c r="BN102">
        <v>3.73</v>
      </c>
      <c r="BO102">
        <v>4.6900000000000004</v>
      </c>
    </row>
    <row r="103" spans="1:67">
      <c r="A103" t="s">
        <v>63</v>
      </c>
      <c r="B103" s="77">
        <v>41580</v>
      </c>
      <c r="C103" t="s">
        <v>79</v>
      </c>
      <c r="D103" t="s">
        <v>86</v>
      </c>
      <c r="E103">
        <v>2</v>
      </c>
      <c r="F103">
        <v>1</v>
      </c>
      <c r="G103" t="s">
        <v>70</v>
      </c>
      <c r="H103">
        <v>2</v>
      </c>
      <c r="I103">
        <v>1</v>
      </c>
      <c r="J103" t="s">
        <v>70</v>
      </c>
      <c r="K103">
        <v>21</v>
      </c>
      <c r="L103">
        <v>13</v>
      </c>
      <c r="M103">
        <v>8</v>
      </c>
      <c r="N103">
        <v>2</v>
      </c>
      <c r="O103">
        <v>14</v>
      </c>
      <c r="P103">
        <v>13</v>
      </c>
      <c r="Q103">
        <v>12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1.22</v>
      </c>
      <c r="X103">
        <v>6</v>
      </c>
      <c r="Y103">
        <v>13</v>
      </c>
      <c r="Z103">
        <v>1.22</v>
      </c>
      <c r="AA103">
        <v>6</v>
      </c>
      <c r="AB103">
        <v>12</v>
      </c>
      <c r="AC103">
        <v>1.2</v>
      </c>
      <c r="AD103">
        <v>5.8</v>
      </c>
      <c r="AE103">
        <v>13</v>
      </c>
      <c r="AF103">
        <v>1.25</v>
      </c>
      <c r="AG103">
        <v>5.5</v>
      </c>
      <c r="AH103">
        <v>12</v>
      </c>
      <c r="AI103">
        <v>1.25</v>
      </c>
      <c r="AJ103">
        <v>6.5</v>
      </c>
      <c r="AK103">
        <v>14.6</v>
      </c>
      <c r="AL103">
        <v>1.29</v>
      </c>
      <c r="AM103">
        <v>5</v>
      </c>
      <c r="AN103">
        <v>12</v>
      </c>
      <c r="AO103">
        <v>1.22</v>
      </c>
      <c r="AP103">
        <v>5.75</v>
      </c>
      <c r="AQ103">
        <v>12</v>
      </c>
      <c r="AR103">
        <v>1.25</v>
      </c>
      <c r="AS103">
        <v>6.5</v>
      </c>
      <c r="AT103">
        <v>15</v>
      </c>
      <c r="AU103">
        <v>37</v>
      </c>
      <c r="AV103">
        <v>1.29</v>
      </c>
      <c r="AW103">
        <v>1.23</v>
      </c>
      <c r="AX103">
        <v>6.54</v>
      </c>
      <c r="AY103">
        <v>5.88</v>
      </c>
      <c r="AZ103">
        <v>15.2</v>
      </c>
      <c r="BA103">
        <v>12.43</v>
      </c>
      <c r="BB103">
        <v>32</v>
      </c>
      <c r="BC103">
        <v>1.67</v>
      </c>
      <c r="BD103">
        <v>1.6</v>
      </c>
      <c r="BE103">
        <v>2.38</v>
      </c>
      <c r="BF103">
        <v>2.2799999999999998</v>
      </c>
      <c r="BG103">
        <v>21</v>
      </c>
      <c r="BH103">
        <v>-1.5</v>
      </c>
      <c r="BI103">
        <v>1.76</v>
      </c>
      <c r="BJ103">
        <v>1.72</v>
      </c>
      <c r="BK103">
        <v>2.2799999999999998</v>
      </c>
      <c r="BL103">
        <v>2.17</v>
      </c>
      <c r="BM103">
        <v>1.2</v>
      </c>
      <c r="BN103">
        <v>7.29</v>
      </c>
      <c r="BO103">
        <v>19.850000000000001</v>
      </c>
    </row>
    <row r="104" spans="1:67">
      <c r="A104" t="s">
        <v>63</v>
      </c>
      <c r="B104" s="77">
        <v>41580</v>
      </c>
      <c r="C104" t="s">
        <v>81</v>
      </c>
      <c r="D104" t="s">
        <v>65</v>
      </c>
      <c r="E104">
        <v>0</v>
      </c>
      <c r="F104">
        <v>1</v>
      </c>
      <c r="G104" t="s">
        <v>66</v>
      </c>
      <c r="H104">
        <v>0</v>
      </c>
      <c r="I104">
        <v>0</v>
      </c>
      <c r="J104" t="s">
        <v>67</v>
      </c>
      <c r="K104">
        <v>5</v>
      </c>
      <c r="L104">
        <v>12</v>
      </c>
      <c r="M104">
        <v>1</v>
      </c>
      <c r="N104">
        <v>5</v>
      </c>
      <c r="O104">
        <v>15</v>
      </c>
      <c r="P104">
        <v>14</v>
      </c>
      <c r="Q104">
        <v>6</v>
      </c>
      <c r="R104">
        <v>3</v>
      </c>
      <c r="S104">
        <v>2</v>
      </c>
      <c r="T104">
        <v>4</v>
      </c>
      <c r="U104">
        <v>0</v>
      </c>
      <c r="V104">
        <v>0</v>
      </c>
      <c r="W104">
        <v>4.5</v>
      </c>
      <c r="X104">
        <v>3.75</v>
      </c>
      <c r="Y104">
        <v>1.73</v>
      </c>
      <c r="Z104">
        <v>4.5999999999999996</v>
      </c>
      <c r="AA104">
        <v>3.8</v>
      </c>
      <c r="AB104">
        <v>1.7</v>
      </c>
      <c r="AC104">
        <v>4.7</v>
      </c>
      <c r="AD104">
        <v>3.6</v>
      </c>
      <c r="AE104">
        <v>1.7</v>
      </c>
      <c r="AF104">
        <v>4.5</v>
      </c>
      <c r="AG104">
        <v>3.75</v>
      </c>
      <c r="AH104">
        <v>1.75</v>
      </c>
      <c r="AI104">
        <v>5.58</v>
      </c>
      <c r="AJ104">
        <v>3.9</v>
      </c>
      <c r="AK104">
        <v>1.71</v>
      </c>
      <c r="AL104">
        <v>5</v>
      </c>
      <c r="AM104">
        <v>3.4</v>
      </c>
      <c r="AN104">
        <v>1.75</v>
      </c>
      <c r="AO104">
        <v>4.5</v>
      </c>
      <c r="AP104">
        <v>3.6</v>
      </c>
      <c r="AQ104">
        <v>1.73</v>
      </c>
      <c r="AR104">
        <v>5</v>
      </c>
      <c r="AS104">
        <v>3.8</v>
      </c>
      <c r="AT104">
        <v>1.75</v>
      </c>
      <c r="AU104">
        <v>31</v>
      </c>
      <c r="AV104">
        <v>5.58</v>
      </c>
      <c r="AW104">
        <v>4.8</v>
      </c>
      <c r="AX104">
        <v>3.9</v>
      </c>
      <c r="AY104">
        <v>3.68</v>
      </c>
      <c r="AZ104">
        <v>1.8</v>
      </c>
      <c r="BA104">
        <v>1.72</v>
      </c>
      <c r="BB104">
        <v>30</v>
      </c>
      <c r="BC104">
        <v>1.88</v>
      </c>
      <c r="BD104">
        <v>1.8</v>
      </c>
      <c r="BE104">
        <v>2.1</v>
      </c>
      <c r="BF104">
        <v>2.0099999999999998</v>
      </c>
      <c r="BG104">
        <v>17</v>
      </c>
      <c r="BH104">
        <v>1</v>
      </c>
      <c r="BI104">
        <v>1.73</v>
      </c>
      <c r="BJ104">
        <v>1.67</v>
      </c>
      <c r="BK104">
        <v>2.35</v>
      </c>
      <c r="BL104">
        <v>2.25</v>
      </c>
      <c r="BM104">
        <v>5.18</v>
      </c>
      <c r="BN104">
        <v>3.93</v>
      </c>
      <c r="BO104">
        <v>1.74</v>
      </c>
    </row>
    <row r="105" spans="1:67">
      <c r="A105" t="s">
        <v>63</v>
      </c>
      <c r="B105" s="77">
        <v>41581</v>
      </c>
      <c r="C105" t="s">
        <v>75</v>
      </c>
      <c r="D105" t="s">
        <v>74</v>
      </c>
      <c r="E105">
        <v>0</v>
      </c>
      <c r="F105">
        <v>2</v>
      </c>
      <c r="G105" t="s">
        <v>66</v>
      </c>
      <c r="H105">
        <v>0</v>
      </c>
      <c r="I105">
        <v>0</v>
      </c>
      <c r="J105" t="s">
        <v>67</v>
      </c>
      <c r="K105">
        <v>17</v>
      </c>
      <c r="L105">
        <v>7</v>
      </c>
      <c r="M105">
        <v>4</v>
      </c>
      <c r="N105">
        <v>3</v>
      </c>
      <c r="O105">
        <v>16</v>
      </c>
      <c r="P105">
        <v>18</v>
      </c>
      <c r="Q105">
        <v>5</v>
      </c>
      <c r="R105">
        <v>4</v>
      </c>
      <c r="S105">
        <v>2</v>
      </c>
      <c r="T105">
        <v>1</v>
      </c>
      <c r="U105">
        <v>0</v>
      </c>
      <c r="V105">
        <v>0</v>
      </c>
      <c r="W105">
        <v>1.57</v>
      </c>
      <c r="X105">
        <v>3.8</v>
      </c>
      <c r="Y105">
        <v>6</v>
      </c>
      <c r="Z105">
        <v>1.53</v>
      </c>
      <c r="AA105">
        <v>3.9</v>
      </c>
      <c r="AB105">
        <v>6.5</v>
      </c>
      <c r="AC105">
        <v>1.6</v>
      </c>
      <c r="AD105">
        <v>3.7</v>
      </c>
      <c r="AE105">
        <v>5.4</v>
      </c>
      <c r="AF105">
        <v>1.61</v>
      </c>
      <c r="AG105">
        <v>3.75</v>
      </c>
      <c r="AH105">
        <v>5.5</v>
      </c>
      <c r="AI105">
        <v>1.56</v>
      </c>
      <c r="AJ105">
        <v>4.1399999999999997</v>
      </c>
      <c r="AK105">
        <v>7.15</v>
      </c>
      <c r="AL105">
        <v>1.6</v>
      </c>
      <c r="AM105">
        <v>3.5</v>
      </c>
      <c r="AN105">
        <v>6.5</v>
      </c>
      <c r="AO105">
        <v>1.53</v>
      </c>
      <c r="AP105">
        <v>3.75</v>
      </c>
      <c r="AQ105">
        <v>6</v>
      </c>
      <c r="AR105">
        <v>1.6</v>
      </c>
      <c r="AS105">
        <v>4.0999999999999996</v>
      </c>
      <c r="AT105">
        <v>6.5</v>
      </c>
      <c r="AU105">
        <v>37</v>
      </c>
      <c r="AV105">
        <v>1.62</v>
      </c>
      <c r="AW105">
        <v>1.56</v>
      </c>
      <c r="AX105">
        <v>4.1399999999999997</v>
      </c>
      <c r="AY105">
        <v>3.79</v>
      </c>
      <c r="AZ105">
        <v>7.15</v>
      </c>
      <c r="BA105">
        <v>6.3</v>
      </c>
      <c r="BB105">
        <v>35</v>
      </c>
      <c r="BC105">
        <v>2.11</v>
      </c>
      <c r="BD105">
        <v>2.0099999999999998</v>
      </c>
      <c r="BE105">
        <v>1.86</v>
      </c>
      <c r="BF105">
        <v>1.78</v>
      </c>
      <c r="BG105">
        <v>21</v>
      </c>
      <c r="BH105">
        <v>-1</v>
      </c>
      <c r="BI105">
        <v>2.0699999999999998</v>
      </c>
      <c r="BJ105">
        <v>1.99</v>
      </c>
      <c r="BK105">
        <v>1.92</v>
      </c>
      <c r="BL105">
        <v>1.88</v>
      </c>
      <c r="BM105">
        <v>1.71</v>
      </c>
      <c r="BN105">
        <v>3.66</v>
      </c>
      <c r="BO105">
        <v>6.12</v>
      </c>
    </row>
    <row r="106" spans="1:67">
      <c r="A106" t="s">
        <v>63</v>
      </c>
      <c r="B106" s="77">
        <v>41581</v>
      </c>
      <c r="C106" t="s">
        <v>77</v>
      </c>
      <c r="D106" t="s">
        <v>72</v>
      </c>
      <c r="E106">
        <v>1</v>
      </c>
      <c r="F106">
        <v>0</v>
      </c>
      <c r="G106" t="s">
        <v>70</v>
      </c>
      <c r="H106">
        <v>1</v>
      </c>
      <c r="I106">
        <v>0</v>
      </c>
      <c r="J106" t="s">
        <v>70</v>
      </c>
      <c r="K106">
        <v>18</v>
      </c>
      <c r="L106">
        <v>5</v>
      </c>
      <c r="M106">
        <v>6</v>
      </c>
      <c r="N106">
        <v>1</v>
      </c>
      <c r="O106">
        <v>15</v>
      </c>
      <c r="P106">
        <v>17</v>
      </c>
      <c r="Q106">
        <v>3</v>
      </c>
      <c r="R106">
        <v>4</v>
      </c>
      <c r="S106">
        <v>4</v>
      </c>
      <c r="T106">
        <v>3</v>
      </c>
      <c r="U106">
        <v>0</v>
      </c>
      <c r="V106">
        <v>1</v>
      </c>
      <c r="W106">
        <v>2.7</v>
      </c>
      <c r="X106">
        <v>3.1</v>
      </c>
      <c r="Y106">
        <v>2.7</v>
      </c>
      <c r="Z106">
        <v>2.7</v>
      </c>
      <c r="AA106">
        <v>3.1</v>
      </c>
      <c r="AB106">
        <v>2.7</v>
      </c>
      <c r="AC106">
        <v>2.6</v>
      </c>
      <c r="AD106">
        <v>3.2</v>
      </c>
      <c r="AE106">
        <v>2.6</v>
      </c>
      <c r="AF106">
        <v>2.7</v>
      </c>
      <c r="AG106">
        <v>3.2</v>
      </c>
      <c r="AH106">
        <v>2.62</v>
      </c>
      <c r="AI106">
        <v>2.8</v>
      </c>
      <c r="AJ106">
        <v>3.19</v>
      </c>
      <c r="AK106">
        <v>2.86</v>
      </c>
      <c r="AL106">
        <v>2.8</v>
      </c>
      <c r="AM106">
        <v>3</v>
      </c>
      <c r="AN106">
        <v>2.7</v>
      </c>
      <c r="AO106">
        <v>2.6</v>
      </c>
      <c r="AP106">
        <v>3.13</v>
      </c>
      <c r="AQ106">
        <v>2.63</v>
      </c>
      <c r="AR106">
        <v>2.8</v>
      </c>
      <c r="AS106">
        <v>3.25</v>
      </c>
      <c r="AT106">
        <v>2.8</v>
      </c>
      <c r="AU106">
        <v>36</v>
      </c>
      <c r="AV106">
        <v>2.8</v>
      </c>
      <c r="AW106">
        <v>2.69</v>
      </c>
      <c r="AX106">
        <v>3.28</v>
      </c>
      <c r="AY106">
        <v>3.13</v>
      </c>
      <c r="AZ106">
        <v>2.86</v>
      </c>
      <c r="BA106">
        <v>2.7</v>
      </c>
      <c r="BB106">
        <v>32</v>
      </c>
      <c r="BC106">
        <v>2.39</v>
      </c>
      <c r="BD106">
        <v>2.2599999999999998</v>
      </c>
      <c r="BE106">
        <v>1.65</v>
      </c>
      <c r="BF106">
        <v>1.61</v>
      </c>
      <c r="BG106">
        <v>19</v>
      </c>
      <c r="BH106">
        <v>-0.25</v>
      </c>
      <c r="BI106">
        <v>2.37</v>
      </c>
      <c r="BJ106">
        <v>2.29</v>
      </c>
      <c r="BK106">
        <v>1.69</v>
      </c>
      <c r="BL106">
        <v>1.65</v>
      </c>
      <c r="BM106">
        <v>2.54</v>
      </c>
      <c r="BN106">
        <v>3.39</v>
      </c>
      <c r="BO106">
        <v>3</v>
      </c>
    </row>
    <row r="107" spans="1:67">
      <c r="A107" t="s">
        <v>63</v>
      </c>
      <c r="B107" s="77">
        <v>41581</v>
      </c>
      <c r="C107" t="s">
        <v>64</v>
      </c>
      <c r="D107" t="s">
        <v>84</v>
      </c>
      <c r="E107">
        <v>3</v>
      </c>
      <c r="F107">
        <v>4</v>
      </c>
      <c r="G107" t="s">
        <v>66</v>
      </c>
      <c r="H107">
        <v>1</v>
      </c>
      <c r="I107">
        <v>0</v>
      </c>
      <c r="J107" t="s">
        <v>70</v>
      </c>
      <c r="K107">
        <v>13</v>
      </c>
      <c r="L107">
        <v>19</v>
      </c>
      <c r="M107">
        <v>5</v>
      </c>
      <c r="N107">
        <v>10</v>
      </c>
      <c r="O107">
        <v>17</v>
      </c>
      <c r="P107">
        <v>14</v>
      </c>
      <c r="Q107">
        <v>4</v>
      </c>
      <c r="R107">
        <v>3</v>
      </c>
      <c r="S107">
        <v>2</v>
      </c>
      <c r="T107">
        <v>2</v>
      </c>
      <c r="U107">
        <v>1</v>
      </c>
      <c r="V107">
        <v>0</v>
      </c>
      <c r="W107">
        <v>1.95</v>
      </c>
      <c r="X107">
        <v>3.5</v>
      </c>
      <c r="Y107">
        <v>3.8</v>
      </c>
      <c r="Z107">
        <v>1.9</v>
      </c>
      <c r="AA107">
        <v>3.4</v>
      </c>
      <c r="AB107">
        <v>4.0999999999999996</v>
      </c>
      <c r="AC107">
        <v>1.85</v>
      </c>
      <c r="AD107">
        <v>3.35</v>
      </c>
      <c r="AE107">
        <v>4.1500000000000004</v>
      </c>
      <c r="AF107">
        <v>1.9</v>
      </c>
      <c r="AG107">
        <v>3.4</v>
      </c>
      <c r="AH107">
        <v>4</v>
      </c>
      <c r="AI107">
        <v>1.96</v>
      </c>
      <c r="AJ107">
        <v>3.54</v>
      </c>
      <c r="AK107">
        <v>4.38</v>
      </c>
      <c r="AL107">
        <v>2</v>
      </c>
      <c r="AM107">
        <v>3.2</v>
      </c>
      <c r="AN107">
        <v>4</v>
      </c>
      <c r="AO107">
        <v>1.95</v>
      </c>
      <c r="AP107">
        <v>3.3</v>
      </c>
      <c r="AQ107">
        <v>3.8</v>
      </c>
      <c r="AR107">
        <v>2.0499999999999998</v>
      </c>
      <c r="AS107">
        <v>3.5</v>
      </c>
      <c r="AT107">
        <v>4</v>
      </c>
      <c r="AU107">
        <v>37</v>
      </c>
      <c r="AV107">
        <v>2.0499999999999998</v>
      </c>
      <c r="AW107">
        <v>1.95</v>
      </c>
      <c r="AX107">
        <v>3.54</v>
      </c>
      <c r="AY107">
        <v>3.35</v>
      </c>
      <c r="AZ107">
        <v>4.38</v>
      </c>
      <c r="BA107">
        <v>3.98</v>
      </c>
      <c r="BB107">
        <v>35</v>
      </c>
      <c r="BC107">
        <v>2.1800000000000002</v>
      </c>
      <c r="BD107">
        <v>2.0699999999999998</v>
      </c>
      <c r="BE107">
        <v>1.81</v>
      </c>
      <c r="BF107">
        <v>1.74</v>
      </c>
      <c r="BG107">
        <v>19</v>
      </c>
      <c r="BH107">
        <v>-0.5</v>
      </c>
      <c r="BI107">
        <v>2</v>
      </c>
      <c r="BJ107">
        <v>1.95</v>
      </c>
      <c r="BK107">
        <v>1.98</v>
      </c>
      <c r="BL107">
        <v>1.92</v>
      </c>
      <c r="BM107">
        <v>2.11</v>
      </c>
      <c r="BN107">
        <v>3.22</v>
      </c>
      <c r="BO107">
        <v>4.24</v>
      </c>
    </row>
    <row r="108" spans="1:67">
      <c r="A108" t="s">
        <v>63</v>
      </c>
      <c r="B108" s="77">
        <v>41581</v>
      </c>
      <c r="C108" t="s">
        <v>83</v>
      </c>
      <c r="D108" t="s">
        <v>78</v>
      </c>
      <c r="E108">
        <v>1</v>
      </c>
      <c r="F108">
        <v>1</v>
      </c>
      <c r="G108" t="s">
        <v>67</v>
      </c>
      <c r="H108">
        <v>0</v>
      </c>
      <c r="I108">
        <v>1</v>
      </c>
      <c r="J108" t="s">
        <v>66</v>
      </c>
      <c r="K108">
        <v>14</v>
      </c>
      <c r="L108">
        <v>12</v>
      </c>
      <c r="M108">
        <v>5</v>
      </c>
      <c r="N108">
        <v>3</v>
      </c>
      <c r="O108">
        <v>12</v>
      </c>
      <c r="P108">
        <v>11</v>
      </c>
      <c r="Q108">
        <v>5</v>
      </c>
      <c r="R108">
        <v>5</v>
      </c>
      <c r="S108">
        <v>2</v>
      </c>
      <c r="T108">
        <v>3</v>
      </c>
      <c r="U108">
        <v>0</v>
      </c>
      <c r="V108">
        <v>0</v>
      </c>
      <c r="W108">
        <v>4</v>
      </c>
      <c r="X108">
        <v>3.5</v>
      </c>
      <c r="Y108">
        <v>1.91</v>
      </c>
      <c r="Z108">
        <v>4.0999999999999996</v>
      </c>
      <c r="AA108">
        <v>3.6</v>
      </c>
      <c r="AB108">
        <v>1.85</v>
      </c>
      <c r="AC108">
        <v>4</v>
      </c>
      <c r="AD108">
        <v>3.45</v>
      </c>
      <c r="AE108">
        <v>1.85</v>
      </c>
      <c r="AF108">
        <v>4</v>
      </c>
      <c r="AG108">
        <v>3.4</v>
      </c>
      <c r="AH108">
        <v>1.9</v>
      </c>
      <c r="AI108">
        <v>4.2699999999999996</v>
      </c>
      <c r="AJ108">
        <v>3.56</v>
      </c>
      <c r="AK108">
        <v>1.98</v>
      </c>
      <c r="AL108">
        <v>4</v>
      </c>
      <c r="AM108">
        <v>3.2</v>
      </c>
      <c r="AN108">
        <v>2</v>
      </c>
      <c r="AO108">
        <v>4</v>
      </c>
      <c r="AP108">
        <v>3.3</v>
      </c>
      <c r="AQ108">
        <v>1.9</v>
      </c>
      <c r="AR108">
        <v>4.2</v>
      </c>
      <c r="AS108">
        <v>3.6</v>
      </c>
      <c r="AT108">
        <v>1.95</v>
      </c>
      <c r="AU108">
        <v>36</v>
      </c>
      <c r="AV108">
        <v>4.2699999999999996</v>
      </c>
      <c r="AW108">
        <v>4.01</v>
      </c>
      <c r="AX108">
        <v>3.57</v>
      </c>
      <c r="AY108">
        <v>3.39</v>
      </c>
      <c r="AZ108">
        <v>2</v>
      </c>
      <c r="BA108">
        <v>1.93</v>
      </c>
      <c r="BB108">
        <v>34</v>
      </c>
      <c r="BC108">
        <v>1.99</v>
      </c>
      <c r="BD108">
        <v>1.91</v>
      </c>
      <c r="BE108">
        <v>1.95</v>
      </c>
      <c r="BF108">
        <v>1.88</v>
      </c>
      <c r="BG108">
        <v>18</v>
      </c>
      <c r="BH108">
        <v>0.5</v>
      </c>
      <c r="BI108">
        <v>1.96</v>
      </c>
      <c r="BJ108">
        <v>1.92</v>
      </c>
      <c r="BK108">
        <v>1.99</v>
      </c>
      <c r="BL108">
        <v>1.95</v>
      </c>
      <c r="BM108">
        <v>4.12</v>
      </c>
      <c r="BN108">
        <v>3.54</v>
      </c>
      <c r="BO108">
        <v>2.0099999999999998</v>
      </c>
    </row>
    <row r="109" spans="1:67">
      <c r="A109" t="s">
        <v>63</v>
      </c>
      <c r="B109" s="77">
        <v>41581</v>
      </c>
      <c r="C109" t="s">
        <v>76</v>
      </c>
      <c r="D109" t="s">
        <v>73</v>
      </c>
      <c r="E109">
        <v>0</v>
      </c>
      <c r="F109">
        <v>3</v>
      </c>
      <c r="G109" t="s">
        <v>66</v>
      </c>
      <c r="H109">
        <v>0</v>
      </c>
      <c r="I109">
        <v>2</v>
      </c>
      <c r="J109" t="s">
        <v>66</v>
      </c>
      <c r="K109">
        <v>9</v>
      </c>
      <c r="L109">
        <v>13</v>
      </c>
      <c r="M109">
        <v>3</v>
      </c>
      <c r="N109">
        <v>5</v>
      </c>
      <c r="O109">
        <v>12</v>
      </c>
      <c r="P109">
        <v>13</v>
      </c>
      <c r="Q109">
        <v>6</v>
      </c>
      <c r="R109">
        <v>4</v>
      </c>
      <c r="S109">
        <v>0</v>
      </c>
      <c r="T109">
        <v>3</v>
      </c>
      <c r="U109">
        <v>0</v>
      </c>
      <c r="V109">
        <v>0</v>
      </c>
      <c r="W109">
        <v>2.63</v>
      </c>
      <c r="X109">
        <v>3.3</v>
      </c>
      <c r="Y109">
        <v>2.63</v>
      </c>
      <c r="Z109">
        <v>2.7</v>
      </c>
      <c r="AA109">
        <v>3.3</v>
      </c>
      <c r="AB109">
        <v>2.5499999999999998</v>
      </c>
      <c r="AC109">
        <v>2.65</v>
      </c>
      <c r="AD109">
        <v>3.3</v>
      </c>
      <c r="AE109">
        <v>2.5</v>
      </c>
      <c r="AF109">
        <v>2.6</v>
      </c>
      <c r="AG109">
        <v>3.4</v>
      </c>
      <c r="AH109">
        <v>2.6</v>
      </c>
      <c r="AI109">
        <v>2.85</v>
      </c>
      <c r="AJ109">
        <v>3.39</v>
      </c>
      <c r="AK109">
        <v>2.67</v>
      </c>
      <c r="AL109">
        <v>2.7</v>
      </c>
      <c r="AM109">
        <v>3.1</v>
      </c>
      <c r="AN109">
        <v>2.7</v>
      </c>
      <c r="AO109">
        <v>2.75</v>
      </c>
      <c r="AP109">
        <v>3.2</v>
      </c>
      <c r="AQ109">
        <v>2.5</v>
      </c>
      <c r="AR109">
        <v>2.9</v>
      </c>
      <c r="AS109">
        <v>3.3</v>
      </c>
      <c r="AT109">
        <v>2.62</v>
      </c>
      <c r="AU109">
        <v>37</v>
      </c>
      <c r="AV109">
        <v>2.9</v>
      </c>
      <c r="AW109">
        <v>2.75</v>
      </c>
      <c r="AX109">
        <v>3.4</v>
      </c>
      <c r="AY109">
        <v>3.24</v>
      </c>
      <c r="AZ109">
        <v>2.7</v>
      </c>
      <c r="BA109">
        <v>2.58</v>
      </c>
      <c r="BB109">
        <v>35</v>
      </c>
      <c r="BC109">
        <v>2.02</v>
      </c>
      <c r="BD109">
        <v>1.94</v>
      </c>
      <c r="BE109">
        <v>1.92</v>
      </c>
      <c r="BF109">
        <v>1.85</v>
      </c>
      <c r="BG109">
        <v>19</v>
      </c>
      <c r="BH109">
        <v>0</v>
      </c>
      <c r="BI109">
        <v>2.06</v>
      </c>
      <c r="BJ109">
        <v>2</v>
      </c>
      <c r="BK109">
        <v>1.91</v>
      </c>
      <c r="BL109">
        <v>1.85</v>
      </c>
      <c r="BM109">
        <v>2.62</v>
      </c>
      <c r="BN109">
        <v>3.47</v>
      </c>
      <c r="BO109">
        <v>2.85</v>
      </c>
    </row>
    <row r="110" spans="1:67">
      <c r="A110" t="s">
        <v>63</v>
      </c>
      <c r="B110" s="77">
        <v>41581</v>
      </c>
      <c r="C110" t="s">
        <v>68</v>
      </c>
      <c r="D110" t="s">
        <v>71</v>
      </c>
      <c r="E110">
        <v>2</v>
      </c>
      <c r="F110">
        <v>1</v>
      </c>
      <c r="G110" t="s">
        <v>70</v>
      </c>
      <c r="H110">
        <v>1</v>
      </c>
      <c r="I110">
        <v>0</v>
      </c>
      <c r="J110" t="s">
        <v>70</v>
      </c>
      <c r="K110">
        <v>6</v>
      </c>
      <c r="L110">
        <v>18</v>
      </c>
      <c r="M110">
        <v>4</v>
      </c>
      <c r="N110">
        <v>3</v>
      </c>
      <c r="O110">
        <v>8</v>
      </c>
      <c r="P110">
        <v>21</v>
      </c>
      <c r="Q110">
        <v>4</v>
      </c>
      <c r="R110">
        <v>6</v>
      </c>
      <c r="S110">
        <v>0</v>
      </c>
      <c r="T110">
        <v>3</v>
      </c>
      <c r="U110">
        <v>0</v>
      </c>
      <c r="V110">
        <v>0</v>
      </c>
      <c r="W110">
        <v>2.0499999999999998</v>
      </c>
      <c r="X110">
        <v>3.4</v>
      </c>
      <c r="Y110">
        <v>3.5</v>
      </c>
      <c r="Z110">
        <v>2</v>
      </c>
      <c r="AA110">
        <v>3.4</v>
      </c>
      <c r="AB110">
        <v>3.75</v>
      </c>
      <c r="AC110">
        <v>2</v>
      </c>
      <c r="AD110">
        <v>3.3</v>
      </c>
      <c r="AE110">
        <v>3.6</v>
      </c>
      <c r="AF110">
        <v>2</v>
      </c>
      <c r="AG110">
        <v>3.3</v>
      </c>
      <c r="AH110">
        <v>3.75</v>
      </c>
      <c r="AI110">
        <v>2.16</v>
      </c>
      <c r="AJ110">
        <v>3.44</v>
      </c>
      <c r="AK110">
        <v>3.75</v>
      </c>
      <c r="AL110">
        <v>2.15</v>
      </c>
      <c r="AM110">
        <v>3.1</v>
      </c>
      <c r="AN110">
        <v>3.6</v>
      </c>
      <c r="AO110">
        <v>2.0499999999999998</v>
      </c>
      <c r="AP110">
        <v>3.3</v>
      </c>
      <c r="AQ110">
        <v>3.4</v>
      </c>
      <c r="AR110">
        <v>2.15</v>
      </c>
      <c r="AS110">
        <v>3.4</v>
      </c>
      <c r="AT110">
        <v>3.7</v>
      </c>
      <c r="AU110">
        <v>37</v>
      </c>
      <c r="AV110">
        <v>2.19</v>
      </c>
      <c r="AW110">
        <v>2.11</v>
      </c>
      <c r="AX110">
        <v>3.45</v>
      </c>
      <c r="AY110">
        <v>3.3</v>
      </c>
      <c r="AZ110">
        <v>3.78</v>
      </c>
      <c r="BA110">
        <v>3.51</v>
      </c>
      <c r="BB110">
        <v>35</v>
      </c>
      <c r="BC110">
        <v>2.02</v>
      </c>
      <c r="BD110">
        <v>1.94</v>
      </c>
      <c r="BE110">
        <v>1.92</v>
      </c>
      <c r="BF110">
        <v>1.85</v>
      </c>
      <c r="BG110">
        <v>17</v>
      </c>
      <c r="BH110">
        <v>-0.5</v>
      </c>
      <c r="BI110">
        <v>2.2000000000000002</v>
      </c>
      <c r="BJ110">
        <v>2.13</v>
      </c>
      <c r="BK110">
        <v>1.8</v>
      </c>
      <c r="BL110">
        <v>1.75</v>
      </c>
      <c r="BM110">
        <v>2.2799999999999998</v>
      </c>
      <c r="BN110">
        <v>3.43</v>
      </c>
      <c r="BO110">
        <v>3.48</v>
      </c>
    </row>
    <row r="111" spans="1:67">
      <c r="A111" t="s">
        <v>63</v>
      </c>
      <c r="B111" s="77">
        <v>41582</v>
      </c>
      <c r="C111" t="s">
        <v>80</v>
      </c>
      <c r="D111" t="s">
        <v>82</v>
      </c>
      <c r="E111">
        <v>0</v>
      </c>
      <c r="F111">
        <v>0</v>
      </c>
      <c r="G111" t="s">
        <v>67</v>
      </c>
      <c r="H111">
        <v>0</v>
      </c>
      <c r="I111">
        <v>0</v>
      </c>
      <c r="J111" t="s">
        <v>67</v>
      </c>
      <c r="K111">
        <v>12</v>
      </c>
      <c r="L111">
        <v>3</v>
      </c>
      <c r="M111">
        <v>3</v>
      </c>
      <c r="N111">
        <v>1</v>
      </c>
      <c r="O111">
        <v>14</v>
      </c>
      <c r="P111">
        <v>24</v>
      </c>
      <c r="Q111">
        <v>2</v>
      </c>
      <c r="R111">
        <v>2</v>
      </c>
      <c r="S111">
        <v>2</v>
      </c>
      <c r="T111">
        <v>1</v>
      </c>
      <c r="U111">
        <v>0</v>
      </c>
      <c r="V111">
        <v>0</v>
      </c>
      <c r="W111">
        <v>2.0499999999999998</v>
      </c>
      <c r="X111">
        <v>3.3</v>
      </c>
      <c r="Y111">
        <v>3.6</v>
      </c>
      <c r="Z111">
        <v>2</v>
      </c>
      <c r="AA111">
        <v>3.2</v>
      </c>
      <c r="AB111">
        <v>3.9</v>
      </c>
      <c r="AC111">
        <v>1.85</v>
      </c>
      <c r="AD111">
        <v>3.35</v>
      </c>
      <c r="AE111">
        <v>4.1500000000000004</v>
      </c>
      <c r="AF111">
        <v>2.1</v>
      </c>
      <c r="AG111">
        <v>3.3</v>
      </c>
      <c r="AH111">
        <v>3.5</v>
      </c>
      <c r="AI111">
        <v>2.13</v>
      </c>
      <c r="AJ111">
        <v>3.44</v>
      </c>
      <c r="AK111">
        <v>3.85</v>
      </c>
      <c r="AL111">
        <v>2.15</v>
      </c>
      <c r="AM111">
        <v>3.1</v>
      </c>
      <c r="AN111">
        <v>3.6</v>
      </c>
      <c r="AO111">
        <v>2</v>
      </c>
      <c r="AP111">
        <v>3.2</v>
      </c>
      <c r="AQ111">
        <v>3.6</v>
      </c>
      <c r="AR111">
        <v>2.15</v>
      </c>
      <c r="AS111">
        <v>3.4</v>
      </c>
      <c r="AT111">
        <v>3.8</v>
      </c>
      <c r="AU111">
        <v>33</v>
      </c>
      <c r="AV111">
        <v>2.15</v>
      </c>
      <c r="AW111">
        <v>2.06</v>
      </c>
      <c r="AX111">
        <v>3.44</v>
      </c>
      <c r="AY111">
        <v>3.27</v>
      </c>
      <c r="AZ111">
        <v>4.1500000000000004</v>
      </c>
      <c r="BA111">
        <v>3.67</v>
      </c>
      <c r="BB111">
        <v>31</v>
      </c>
      <c r="BC111">
        <v>2.15</v>
      </c>
      <c r="BD111">
        <v>2.09</v>
      </c>
      <c r="BE111">
        <v>1.8</v>
      </c>
      <c r="BF111">
        <v>1.73</v>
      </c>
      <c r="BG111">
        <v>17</v>
      </c>
      <c r="BH111">
        <v>-0.5</v>
      </c>
      <c r="BI111">
        <v>2.13</v>
      </c>
      <c r="BJ111">
        <v>2.08</v>
      </c>
      <c r="BK111">
        <v>1.83</v>
      </c>
      <c r="BL111">
        <v>1.81</v>
      </c>
      <c r="BM111">
        <v>2.12</v>
      </c>
      <c r="BN111">
        <v>3.17</v>
      </c>
      <c r="BO111">
        <v>4.33</v>
      </c>
    </row>
    <row r="112" spans="1:67">
      <c r="A112" t="s">
        <v>63</v>
      </c>
      <c r="B112" s="77">
        <v>41587</v>
      </c>
      <c r="C112" t="s">
        <v>86</v>
      </c>
      <c r="D112" t="s">
        <v>76</v>
      </c>
      <c r="E112">
        <v>1</v>
      </c>
      <c r="F112">
        <v>0</v>
      </c>
      <c r="G112" t="s">
        <v>70</v>
      </c>
      <c r="H112">
        <v>1</v>
      </c>
      <c r="I112">
        <v>0</v>
      </c>
      <c r="J112" t="s">
        <v>70</v>
      </c>
      <c r="K112">
        <v>11</v>
      </c>
      <c r="L112">
        <v>17</v>
      </c>
      <c r="M112">
        <v>4</v>
      </c>
      <c r="N112">
        <v>1</v>
      </c>
      <c r="O112">
        <v>24</v>
      </c>
      <c r="P112">
        <v>15</v>
      </c>
      <c r="Q112">
        <v>5</v>
      </c>
      <c r="R112">
        <v>6</v>
      </c>
      <c r="S112">
        <v>2</v>
      </c>
      <c r="T112">
        <v>3</v>
      </c>
      <c r="U112">
        <v>0</v>
      </c>
      <c r="V112">
        <v>0</v>
      </c>
      <c r="W112">
        <v>2.9</v>
      </c>
      <c r="X112">
        <v>3.1</v>
      </c>
      <c r="Y112">
        <v>2.5</v>
      </c>
      <c r="Z112">
        <v>2.8</v>
      </c>
      <c r="AA112">
        <v>3.1</v>
      </c>
      <c r="AB112">
        <v>2.6</v>
      </c>
      <c r="AC112">
        <v>2.7</v>
      </c>
      <c r="AD112">
        <v>3.15</v>
      </c>
      <c r="AE112">
        <v>2.5499999999999998</v>
      </c>
      <c r="AF112">
        <v>2.9</v>
      </c>
      <c r="AG112">
        <v>3.2</v>
      </c>
      <c r="AH112">
        <v>2.4</v>
      </c>
      <c r="AI112">
        <v>3.16</v>
      </c>
      <c r="AJ112">
        <v>3.27</v>
      </c>
      <c r="AK112">
        <v>2.5099999999999998</v>
      </c>
      <c r="AL112">
        <v>2.9</v>
      </c>
      <c r="AM112">
        <v>3.25</v>
      </c>
      <c r="AN112">
        <v>2.4500000000000002</v>
      </c>
      <c r="AO112">
        <v>2.8</v>
      </c>
      <c r="AP112">
        <v>3.13</v>
      </c>
      <c r="AQ112">
        <v>2.4</v>
      </c>
      <c r="AR112">
        <v>3.2</v>
      </c>
      <c r="AS112">
        <v>3.25</v>
      </c>
      <c r="AT112">
        <v>2.4500000000000002</v>
      </c>
      <c r="AU112">
        <v>37</v>
      </c>
      <c r="AV112">
        <v>3.15</v>
      </c>
      <c r="AW112">
        <v>2.91</v>
      </c>
      <c r="AX112">
        <v>3.26</v>
      </c>
      <c r="AY112">
        <v>3.14</v>
      </c>
      <c r="AZ112">
        <v>2.66</v>
      </c>
      <c r="BA112">
        <v>2.5</v>
      </c>
      <c r="BB112">
        <v>33</v>
      </c>
      <c r="BC112">
        <v>2.38</v>
      </c>
      <c r="BD112">
        <v>2.2400000000000002</v>
      </c>
      <c r="BE112">
        <v>1.7</v>
      </c>
      <c r="BF112">
        <v>1.63</v>
      </c>
      <c r="BG112">
        <v>19</v>
      </c>
      <c r="BH112">
        <v>0</v>
      </c>
      <c r="BI112">
        <v>2.14</v>
      </c>
      <c r="BJ112">
        <v>2.08</v>
      </c>
      <c r="BK112">
        <v>1.85</v>
      </c>
      <c r="BL112">
        <v>1.79</v>
      </c>
      <c r="BM112">
        <v>2.91</v>
      </c>
      <c r="BN112">
        <v>3.27</v>
      </c>
      <c r="BO112">
        <v>2.7</v>
      </c>
    </row>
    <row r="113" spans="1:67">
      <c r="A113" t="s">
        <v>63</v>
      </c>
      <c r="B113" s="77">
        <v>41587</v>
      </c>
      <c r="C113" t="s">
        <v>73</v>
      </c>
      <c r="D113" t="s">
        <v>77</v>
      </c>
      <c r="E113">
        <v>2</v>
      </c>
      <c r="F113">
        <v>0</v>
      </c>
      <c r="G113" t="s">
        <v>70</v>
      </c>
      <c r="H113">
        <v>1</v>
      </c>
      <c r="I113">
        <v>0</v>
      </c>
      <c r="J113" t="s">
        <v>70</v>
      </c>
      <c r="K113">
        <v>12</v>
      </c>
      <c r="L113">
        <v>9</v>
      </c>
      <c r="M113">
        <v>4</v>
      </c>
      <c r="N113">
        <v>1</v>
      </c>
      <c r="O113">
        <v>15</v>
      </c>
      <c r="P113">
        <v>10</v>
      </c>
      <c r="Q113">
        <v>6</v>
      </c>
      <c r="R113">
        <v>0</v>
      </c>
      <c r="S113">
        <v>3</v>
      </c>
      <c r="T113">
        <v>3</v>
      </c>
      <c r="U113">
        <v>0</v>
      </c>
      <c r="V113">
        <v>0</v>
      </c>
      <c r="W113">
        <v>1.3</v>
      </c>
      <c r="X113">
        <v>5</v>
      </c>
      <c r="Y113">
        <v>10</v>
      </c>
      <c r="Z113">
        <v>1.3</v>
      </c>
      <c r="AA113">
        <v>5.25</v>
      </c>
      <c r="AB113">
        <v>9.25</v>
      </c>
      <c r="AC113">
        <v>1.3</v>
      </c>
      <c r="AD113">
        <v>5</v>
      </c>
      <c r="AE113">
        <v>9</v>
      </c>
      <c r="AF113">
        <v>1.28</v>
      </c>
      <c r="AG113">
        <v>5.5</v>
      </c>
      <c r="AH113">
        <v>9.5</v>
      </c>
      <c r="AI113">
        <v>1.33</v>
      </c>
      <c r="AJ113">
        <v>5.55</v>
      </c>
      <c r="AK113">
        <v>11.6</v>
      </c>
      <c r="AL113">
        <v>1.3</v>
      </c>
      <c r="AM113">
        <v>5</v>
      </c>
      <c r="AN113">
        <v>10</v>
      </c>
      <c r="AO113">
        <v>1.3</v>
      </c>
      <c r="AP113">
        <v>5.25</v>
      </c>
      <c r="AQ113">
        <v>8.5</v>
      </c>
      <c r="AR113">
        <v>1.33</v>
      </c>
      <c r="AS113">
        <v>5.5</v>
      </c>
      <c r="AT113">
        <v>10.5</v>
      </c>
      <c r="AU113">
        <v>36</v>
      </c>
      <c r="AV113">
        <v>1.33</v>
      </c>
      <c r="AW113">
        <v>1.3</v>
      </c>
      <c r="AX113">
        <v>5.58</v>
      </c>
      <c r="AY113">
        <v>5.33</v>
      </c>
      <c r="AZ113">
        <v>12.38</v>
      </c>
      <c r="BA113">
        <v>9.5299999999999994</v>
      </c>
      <c r="BB113">
        <v>31</v>
      </c>
      <c r="BC113">
        <v>1.67</v>
      </c>
      <c r="BD113">
        <v>1.62</v>
      </c>
      <c r="BE113">
        <v>2.38</v>
      </c>
      <c r="BF113">
        <v>2.2599999999999998</v>
      </c>
      <c r="BG113">
        <v>20</v>
      </c>
      <c r="BH113">
        <v>-1.5</v>
      </c>
      <c r="BI113">
        <v>2</v>
      </c>
      <c r="BJ113">
        <v>1.94</v>
      </c>
      <c r="BK113">
        <v>2</v>
      </c>
      <c r="BL113">
        <v>1.92</v>
      </c>
      <c r="BM113">
        <v>1.31</v>
      </c>
      <c r="BN113">
        <v>6.08</v>
      </c>
      <c r="BO113">
        <v>10.95</v>
      </c>
    </row>
    <row r="114" spans="1:67">
      <c r="A114" t="s">
        <v>63</v>
      </c>
      <c r="B114" s="77">
        <v>41588</v>
      </c>
      <c r="C114" t="s">
        <v>72</v>
      </c>
      <c r="D114" t="s">
        <v>80</v>
      </c>
      <c r="E114">
        <v>2</v>
      </c>
      <c r="F114">
        <v>1</v>
      </c>
      <c r="G114" t="s">
        <v>70</v>
      </c>
      <c r="H114">
        <v>0</v>
      </c>
      <c r="I114">
        <v>0</v>
      </c>
      <c r="J114" t="s">
        <v>67</v>
      </c>
      <c r="K114">
        <v>13</v>
      </c>
      <c r="L114">
        <v>11</v>
      </c>
      <c r="M114">
        <v>3</v>
      </c>
      <c r="N114">
        <v>4</v>
      </c>
      <c r="O114">
        <v>17</v>
      </c>
      <c r="P114">
        <v>17</v>
      </c>
      <c r="Q114">
        <v>8</v>
      </c>
      <c r="R114">
        <v>1</v>
      </c>
      <c r="S114">
        <v>3</v>
      </c>
      <c r="T114">
        <v>2</v>
      </c>
      <c r="U114">
        <v>0</v>
      </c>
      <c r="V114">
        <v>0</v>
      </c>
      <c r="W114">
        <v>2.0499999999999998</v>
      </c>
      <c r="X114">
        <v>3.3</v>
      </c>
      <c r="Y114">
        <v>3.6</v>
      </c>
      <c r="Z114">
        <v>2.0499999999999998</v>
      </c>
      <c r="AA114">
        <v>3.2</v>
      </c>
      <c r="AB114">
        <v>3.8</v>
      </c>
      <c r="AC114">
        <v>1.9</v>
      </c>
      <c r="AD114">
        <v>3.3</v>
      </c>
      <c r="AE114">
        <v>4</v>
      </c>
      <c r="AF114">
        <v>2.0499999999999998</v>
      </c>
      <c r="AG114">
        <v>3.3</v>
      </c>
      <c r="AH114">
        <v>3.6</v>
      </c>
      <c r="AI114">
        <v>2.06</v>
      </c>
      <c r="AJ114">
        <v>3.35</v>
      </c>
      <c r="AK114">
        <v>4.22</v>
      </c>
      <c r="AL114">
        <v>2.1</v>
      </c>
      <c r="AM114">
        <v>3.25</v>
      </c>
      <c r="AN114">
        <v>3.6</v>
      </c>
      <c r="AO114">
        <v>2</v>
      </c>
      <c r="AP114">
        <v>3.25</v>
      </c>
      <c r="AQ114">
        <v>3.6</v>
      </c>
      <c r="AR114">
        <v>2.1</v>
      </c>
      <c r="AS114">
        <v>3.3</v>
      </c>
      <c r="AT114">
        <v>4.0999999999999996</v>
      </c>
      <c r="AU114">
        <v>37</v>
      </c>
      <c r="AV114">
        <v>2.12</v>
      </c>
      <c r="AW114">
        <v>2.04</v>
      </c>
      <c r="AX114">
        <v>3.41</v>
      </c>
      <c r="AY114">
        <v>3.24</v>
      </c>
      <c r="AZ114">
        <v>4.1399999999999997</v>
      </c>
      <c r="BA114">
        <v>3.76</v>
      </c>
      <c r="BB114">
        <v>34</v>
      </c>
      <c r="BC114">
        <v>2.37</v>
      </c>
      <c r="BD114">
        <v>2.2200000000000002</v>
      </c>
      <c r="BE114">
        <v>1.72</v>
      </c>
      <c r="BF114">
        <v>1.64</v>
      </c>
      <c r="BG114">
        <v>18</v>
      </c>
      <c r="BH114">
        <v>-0.5</v>
      </c>
      <c r="BI114">
        <v>2.12</v>
      </c>
      <c r="BJ114">
        <v>2.06</v>
      </c>
      <c r="BK114">
        <v>1.86</v>
      </c>
      <c r="BL114">
        <v>1.82</v>
      </c>
      <c r="BM114">
        <v>2.4700000000000002</v>
      </c>
      <c r="BN114">
        <v>3.14</v>
      </c>
      <c r="BO114">
        <v>3.37</v>
      </c>
    </row>
    <row r="115" spans="1:67">
      <c r="A115" t="s">
        <v>63</v>
      </c>
      <c r="B115" s="77">
        <v>41588</v>
      </c>
      <c r="C115" t="s">
        <v>71</v>
      </c>
      <c r="D115" t="s">
        <v>83</v>
      </c>
      <c r="E115">
        <v>2</v>
      </c>
      <c r="F115">
        <v>1</v>
      </c>
      <c r="G115" t="s">
        <v>70</v>
      </c>
      <c r="H115">
        <v>1</v>
      </c>
      <c r="I115">
        <v>0</v>
      </c>
      <c r="J115" t="s">
        <v>70</v>
      </c>
      <c r="K115">
        <v>10</v>
      </c>
      <c r="L115">
        <v>9</v>
      </c>
      <c r="M115">
        <v>5</v>
      </c>
      <c r="N115">
        <v>4</v>
      </c>
      <c r="O115">
        <v>19</v>
      </c>
      <c r="P115">
        <v>11</v>
      </c>
      <c r="Q115">
        <v>4</v>
      </c>
      <c r="R115">
        <v>4</v>
      </c>
      <c r="S115">
        <v>4</v>
      </c>
      <c r="T115">
        <v>4</v>
      </c>
      <c r="U115">
        <v>0</v>
      </c>
      <c r="V115">
        <v>0</v>
      </c>
      <c r="W115">
        <v>2</v>
      </c>
      <c r="X115">
        <v>3.3</v>
      </c>
      <c r="Y115">
        <v>3.8</v>
      </c>
      <c r="Z115">
        <v>2.0499999999999998</v>
      </c>
      <c r="AA115">
        <v>3.25</v>
      </c>
      <c r="AB115">
        <v>3.7</v>
      </c>
      <c r="AC115">
        <v>2</v>
      </c>
      <c r="AD115">
        <v>3.2</v>
      </c>
      <c r="AE115">
        <v>3.75</v>
      </c>
      <c r="AF115">
        <v>2.1</v>
      </c>
      <c r="AG115">
        <v>3.3</v>
      </c>
      <c r="AH115">
        <v>3.5</v>
      </c>
      <c r="AI115">
        <v>2.1</v>
      </c>
      <c r="AJ115">
        <v>3.41</v>
      </c>
      <c r="AK115">
        <v>3.98</v>
      </c>
      <c r="AL115">
        <v>2.15</v>
      </c>
      <c r="AM115">
        <v>3.25</v>
      </c>
      <c r="AN115">
        <v>3.5</v>
      </c>
      <c r="AO115">
        <v>2.0499999999999998</v>
      </c>
      <c r="AP115">
        <v>3.25</v>
      </c>
      <c r="AQ115">
        <v>3.5</v>
      </c>
      <c r="AR115">
        <v>2.1</v>
      </c>
      <c r="AS115">
        <v>3.4</v>
      </c>
      <c r="AT115">
        <v>3.9</v>
      </c>
      <c r="AU115">
        <v>37</v>
      </c>
      <c r="AV115">
        <v>2.13</v>
      </c>
      <c r="AW115">
        <v>2.06</v>
      </c>
      <c r="AX115">
        <v>3.44</v>
      </c>
      <c r="AY115">
        <v>3.27</v>
      </c>
      <c r="AZ115">
        <v>4.03</v>
      </c>
      <c r="BA115">
        <v>3.67</v>
      </c>
      <c r="BB115">
        <v>34</v>
      </c>
      <c r="BC115">
        <v>2.25</v>
      </c>
      <c r="BD115">
        <v>2.13</v>
      </c>
      <c r="BE115">
        <v>1.75</v>
      </c>
      <c r="BF115">
        <v>1.69</v>
      </c>
      <c r="BG115">
        <v>18</v>
      </c>
      <c r="BH115">
        <v>-0.5</v>
      </c>
      <c r="BI115">
        <v>2.14</v>
      </c>
      <c r="BJ115">
        <v>2.0699999999999998</v>
      </c>
      <c r="BK115">
        <v>1.85</v>
      </c>
      <c r="BL115">
        <v>1.82</v>
      </c>
      <c r="BM115">
        <v>2.0499999999999998</v>
      </c>
      <c r="BN115">
        <v>3.4</v>
      </c>
      <c r="BO115">
        <v>4.2</v>
      </c>
    </row>
    <row r="116" spans="1:67">
      <c r="A116" t="s">
        <v>63</v>
      </c>
      <c r="B116" s="77">
        <v>41588</v>
      </c>
      <c r="C116" t="s">
        <v>82</v>
      </c>
      <c r="D116" t="s">
        <v>69</v>
      </c>
      <c r="E116">
        <v>0</v>
      </c>
      <c r="F116">
        <v>0</v>
      </c>
      <c r="G116" t="s">
        <v>67</v>
      </c>
      <c r="H116">
        <v>0</v>
      </c>
      <c r="I116">
        <v>0</v>
      </c>
      <c r="J116" t="s">
        <v>67</v>
      </c>
      <c r="K116">
        <v>6</v>
      </c>
      <c r="L116">
        <v>23</v>
      </c>
      <c r="M116">
        <v>2</v>
      </c>
      <c r="N116">
        <v>3</v>
      </c>
      <c r="O116">
        <v>15</v>
      </c>
      <c r="P116">
        <v>9</v>
      </c>
      <c r="Q116">
        <v>2</v>
      </c>
      <c r="R116">
        <v>8</v>
      </c>
      <c r="S116">
        <v>2</v>
      </c>
      <c r="T116">
        <v>0</v>
      </c>
      <c r="U116">
        <v>1</v>
      </c>
      <c r="V116">
        <v>1</v>
      </c>
      <c r="W116">
        <v>3.8</v>
      </c>
      <c r="X116">
        <v>3.3</v>
      </c>
      <c r="Y116">
        <v>2</v>
      </c>
      <c r="Z116">
        <v>3.8</v>
      </c>
      <c r="AA116">
        <v>3.3</v>
      </c>
      <c r="AB116">
        <v>2</v>
      </c>
      <c r="AC116">
        <v>3.3</v>
      </c>
      <c r="AD116">
        <v>3.3</v>
      </c>
      <c r="AE116">
        <v>2.1</v>
      </c>
      <c r="AF116">
        <v>3.75</v>
      </c>
      <c r="AG116">
        <v>3.4</v>
      </c>
      <c r="AH116">
        <v>2</v>
      </c>
      <c r="AI116">
        <v>4.33</v>
      </c>
      <c r="AJ116">
        <v>3.49</v>
      </c>
      <c r="AK116">
        <v>1.99</v>
      </c>
      <c r="AL116">
        <v>3.8</v>
      </c>
      <c r="AM116">
        <v>3.3</v>
      </c>
      <c r="AN116">
        <v>2</v>
      </c>
      <c r="AO116">
        <v>3.75</v>
      </c>
      <c r="AP116">
        <v>3.25</v>
      </c>
      <c r="AQ116">
        <v>2</v>
      </c>
      <c r="AR116">
        <v>4.2</v>
      </c>
      <c r="AS116">
        <v>3.4</v>
      </c>
      <c r="AT116">
        <v>2</v>
      </c>
      <c r="AU116">
        <v>37</v>
      </c>
      <c r="AV116">
        <v>4.37</v>
      </c>
      <c r="AW116">
        <v>3.91</v>
      </c>
      <c r="AX116">
        <v>3.49</v>
      </c>
      <c r="AY116">
        <v>3.33</v>
      </c>
      <c r="AZ116">
        <v>2.1</v>
      </c>
      <c r="BA116">
        <v>1.98</v>
      </c>
      <c r="BB116">
        <v>35</v>
      </c>
      <c r="BC116">
        <v>2.2000000000000002</v>
      </c>
      <c r="BD116">
        <v>2.08</v>
      </c>
      <c r="BE116">
        <v>1.79</v>
      </c>
      <c r="BF116">
        <v>1.73</v>
      </c>
      <c r="BG116">
        <v>18</v>
      </c>
      <c r="BH116">
        <v>0.5</v>
      </c>
      <c r="BI116">
        <v>1.95</v>
      </c>
      <c r="BJ116">
        <v>1.9</v>
      </c>
      <c r="BK116">
        <v>2.0099999999999998</v>
      </c>
      <c r="BL116">
        <v>1.98</v>
      </c>
      <c r="BM116">
        <v>4.46</v>
      </c>
      <c r="BN116">
        <v>3.53</v>
      </c>
      <c r="BO116">
        <v>1.95</v>
      </c>
    </row>
    <row r="117" spans="1:67">
      <c r="A117" t="s">
        <v>63</v>
      </c>
      <c r="B117" s="77">
        <v>41588</v>
      </c>
      <c r="C117" t="s">
        <v>85</v>
      </c>
      <c r="D117" t="s">
        <v>64</v>
      </c>
      <c r="E117">
        <v>2</v>
      </c>
      <c r="F117">
        <v>1</v>
      </c>
      <c r="G117" t="s">
        <v>70</v>
      </c>
      <c r="H117">
        <v>2</v>
      </c>
      <c r="I117">
        <v>0</v>
      </c>
      <c r="J117" t="s">
        <v>70</v>
      </c>
      <c r="K117">
        <v>14</v>
      </c>
      <c r="L117">
        <v>13</v>
      </c>
      <c r="M117">
        <v>5</v>
      </c>
      <c r="N117">
        <v>3</v>
      </c>
      <c r="O117">
        <v>7</v>
      </c>
      <c r="P117">
        <v>15</v>
      </c>
      <c r="Q117">
        <v>9</v>
      </c>
      <c r="R117">
        <v>1</v>
      </c>
      <c r="S117">
        <v>0</v>
      </c>
      <c r="T117">
        <v>4</v>
      </c>
      <c r="U117">
        <v>0</v>
      </c>
      <c r="V117">
        <v>0</v>
      </c>
      <c r="W117">
        <v>1.4</v>
      </c>
      <c r="X117">
        <v>4.5</v>
      </c>
      <c r="Y117">
        <v>8</v>
      </c>
      <c r="Z117">
        <v>1.36</v>
      </c>
      <c r="AA117">
        <v>4.5</v>
      </c>
      <c r="AB117">
        <v>9.5</v>
      </c>
      <c r="AC117">
        <v>1.45</v>
      </c>
      <c r="AD117">
        <v>4</v>
      </c>
      <c r="AE117">
        <v>7</v>
      </c>
      <c r="AF117">
        <v>1.4</v>
      </c>
      <c r="AG117">
        <v>4.33</v>
      </c>
      <c r="AH117">
        <v>8</v>
      </c>
      <c r="AI117">
        <v>1.41</v>
      </c>
      <c r="AJ117">
        <v>4.75</v>
      </c>
      <c r="AK117">
        <v>10.029999999999999</v>
      </c>
      <c r="AL117">
        <v>1.4</v>
      </c>
      <c r="AM117">
        <v>4.5</v>
      </c>
      <c r="AN117">
        <v>8</v>
      </c>
      <c r="AO117">
        <v>1.4</v>
      </c>
      <c r="AP117">
        <v>4.33</v>
      </c>
      <c r="AQ117">
        <v>8</v>
      </c>
      <c r="AR117">
        <v>1.4</v>
      </c>
      <c r="AS117">
        <v>4.75</v>
      </c>
      <c r="AT117">
        <v>9</v>
      </c>
      <c r="AU117">
        <v>37</v>
      </c>
      <c r="AV117">
        <v>1.45</v>
      </c>
      <c r="AW117">
        <v>1.4</v>
      </c>
      <c r="AX117">
        <v>4.75</v>
      </c>
      <c r="AY117">
        <v>4.4000000000000004</v>
      </c>
      <c r="AZ117">
        <v>10.029999999999999</v>
      </c>
      <c r="BA117">
        <v>8.2899999999999991</v>
      </c>
      <c r="BB117">
        <v>35</v>
      </c>
      <c r="BC117">
        <v>1.85</v>
      </c>
      <c r="BD117">
        <v>1.79</v>
      </c>
      <c r="BE117">
        <v>2.1</v>
      </c>
      <c r="BF117">
        <v>2</v>
      </c>
      <c r="BG117">
        <v>19</v>
      </c>
      <c r="BH117">
        <v>-1.5</v>
      </c>
      <c r="BI117">
        <v>2.2799999999999998</v>
      </c>
      <c r="BJ117">
        <v>2.19</v>
      </c>
      <c r="BK117">
        <v>1.75</v>
      </c>
      <c r="BL117">
        <v>1.71</v>
      </c>
      <c r="BM117">
        <v>1.39</v>
      </c>
      <c r="BN117">
        <v>5.05</v>
      </c>
      <c r="BO117">
        <v>9.8000000000000007</v>
      </c>
    </row>
    <row r="118" spans="1:67">
      <c r="A118" t="s">
        <v>63</v>
      </c>
      <c r="B118" s="77">
        <v>41588</v>
      </c>
      <c r="C118" t="s">
        <v>74</v>
      </c>
      <c r="D118" t="s">
        <v>68</v>
      </c>
      <c r="E118">
        <v>2</v>
      </c>
      <c r="F118">
        <v>0</v>
      </c>
      <c r="G118" t="s">
        <v>70</v>
      </c>
      <c r="H118">
        <v>2</v>
      </c>
      <c r="I118">
        <v>0</v>
      </c>
      <c r="J118" t="s">
        <v>70</v>
      </c>
      <c r="K118">
        <v>12</v>
      </c>
      <c r="L118">
        <v>25</v>
      </c>
      <c r="M118">
        <v>3</v>
      </c>
      <c r="N118">
        <v>4</v>
      </c>
      <c r="O118">
        <v>8</v>
      </c>
      <c r="P118">
        <v>8</v>
      </c>
      <c r="Q118">
        <v>5</v>
      </c>
      <c r="R118">
        <v>4</v>
      </c>
      <c r="S118">
        <v>1</v>
      </c>
      <c r="T118">
        <v>2</v>
      </c>
      <c r="U118">
        <v>0</v>
      </c>
      <c r="V118">
        <v>0</v>
      </c>
      <c r="W118">
        <v>2.25</v>
      </c>
      <c r="X118">
        <v>3.25</v>
      </c>
      <c r="Y118">
        <v>3.25</v>
      </c>
      <c r="Z118">
        <v>2.15</v>
      </c>
      <c r="AA118">
        <v>3.25</v>
      </c>
      <c r="AB118">
        <v>3.4</v>
      </c>
      <c r="AC118">
        <v>2.1</v>
      </c>
      <c r="AD118">
        <v>3.3</v>
      </c>
      <c r="AE118">
        <v>3.3</v>
      </c>
      <c r="AF118">
        <v>2.25</v>
      </c>
      <c r="AG118">
        <v>3.4</v>
      </c>
      <c r="AH118">
        <v>3.1</v>
      </c>
      <c r="AI118">
        <v>2.29</v>
      </c>
      <c r="AJ118">
        <v>3.42</v>
      </c>
      <c r="AK118">
        <v>3.44</v>
      </c>
      <c r="AL118">
        <v>2.25</v>
      </c>
      <c r="AM118">
        <v>3.3</v>
      </c>
      <c r="AN118">
        <v>3.2</v>
      </c>
      <c r="AO118">
        <v>2.2000000000000002</v>
      </c>
      <c r="AP118">
        <v>3.25</v>
      </c>
      <c r="AQ118">
        <v>3.2</v>
      </c>
      <c r="AR118">
        <v>2.2999999999999998</v>
      </c>
      <c r="AS118">
        <v>3.4</v>
      </c>
      <c r="AT118">
        <v>3.3</v>
      </c>
      <c r="AU118">
        <v>36</v>
      </c>
      <c r="AV118">
        <v>2.2999999999999998</v>
      </c>
      <c r="AW118">
        <v>2.23</v>
      </c>
      <c r="AX118">
        <v>3.42</v>
      </c>
      <c r="AY118">
        <v>3.3</v>
      </c>
      <c r="AZ118">
        <v>3.53</v>
      </c>
      <c r="BA118">
        <v>3.23</v>
      </c>
      <c r="BB118">
        <v>34</v>
      </c>
      <c r="BC118">
        <v>2.02</v>
      </c>
      <c r="BD118">
        <v>1.93</v>
      </c>
      <c r="BE118">
        <v>1.92</v>
      </c>
      <c r="BF118">
        <v>1.85</v>
      </c>
      <c r="BG118">
        <v>18</v>
      </c>
      <c r="BH118">
        <v>0</v>
      </c>
      <c r="BI118">
        <v>1.65</v>
      </c>
      <c r="BJ118">
        <v>1.61</v>
      </c>
      <c r="BK118">
        <v>2.4500000000000002</v>
      </c>
      <c r="BL118">
        <v>2.37</v>
      </c>
      <c r="BM118">
        <v>2.29</v>
      </c>
      <c r="BN118">
        <v>3.37</v>
      </c>
      <c r="BO118">
        <v>3.49</v>
      </c>
    </row>
    <row r="119" spans="1:67">
      <c r="A119" t="s">
        <v>63</v>
      </c>
      <c r="B119" s="77">
        <v>41588</v>
      </c>
      <c r="C119" t="s">
        <v>65</v>
      </c>
      <c r="D119" t="s">
        <v>79</v>
      </c>
      <c r="E119">
        <v>3</v>
      </c>
      <c r="F119">
        <v>0</v>
      </c>
      <c r="G119" t="s">
        <v>70</v>
      </c>
      <c r="H119">
        <v>1</v>
      </c>
      <c r="I119">
        <v>0</v>
      </c>
      <c r="J119" t="s">
        <v>70</v>
      </c>
      <c r="K119">
        <v>14</v>
      </c>
      <c r="L119">
        <v>13</v>
      </c>
      <c r="M119">
        <v>10</v>
      </c>
      <c r="N119">
        <v>5</v>
      </c>
      <c r="O119">
        <v>16</v>
      </c>
      <c r="P119">
        <v>16</v>
      </c>
      <c r="Q119">
        <v>4</v>
      </c>
      <c r="R119">
        <v>4</v>
      </c>
      <c r="S119">
        <v>2</v>
      </c>
      <c r="T119">
        <v>1</v>
      </c>
      <c r="U119">
        <v>1</v>
      </c>
      <c r="V119">
        <v>0</v>
      </c>
      <c r="W119">
        <v>1.73</v>
      </c>
      <c r="X119">
        <v>3.6</v>
      </c>
      <c r="Y119">
        <v>4.75</v>
      </c>
      <c r="Z119">
        <v>1.72</v>
      </c>
      <c r="AA119">
        <v>3.6</v>
      </c>
      <c r="AB119">
        <v>4.75</v>
      </c>
      <c r="AC119">
        <v>1.85</v>
      </c>
      <c r="AD119">
        <v>3.45</v>
      </c>
      <c r="AE119">
        <v>4</v>
      </c>
      <c r="AF119">
        <v>1.72</v>
      </c>
      <c r="AG119">
        <v>3.75</v>
      </c>
      <c r="AH119">
        <v>4.5999999999999996</v>
      </c>
      <c r="AI119">
        <v>1.74</v>
      </c>
      <c r="AJ119">
        <v>3.76</v>
      </c>
      <c r="AK119">
        <v>5.53</v>
      </c>
      <c r="AL119">
        <v>1.75</v>
      </c>
      <c r="AM119">
        <v>3.6</v>
      </c>
      <c r="AN119">
        <v>4.5999999999999996</v>
      </c>
      <c r="AO119">
        <v>1.73</v>
      </c>
      <c r="AP119">
        <v>3.5</v>
      </c>
      <c r="AQ119">
        <v>4.8</v>
      </c>
      <c r="AR119">
        <v>1.75</v>
      </c>
      <c r="AS119">
        <v>3.75</v>
      </c>
      <c r="AT119">
        <v>5.25</v>
      </c>
      <c r="AU119">
        <v>37</v>
      </c>
      <c r="AV119">
        <v>1.85</v>
      </c>
      <c r="AW119">
        <v>1.74</v>
      </c>
      <c r="AX119">
        <v>3.78</v>
      </c>
      <c r="AY119">
        <v>3.56</v>
      </c>
      <c r="AZ119">
        <v>5.53</v>
      </c>
      <c r="BA119">
        <v>4.93</v>
      </c>
      <c r="BB119">
        <v>35</v>
      </c>
      <c r="BC119">
        <v>1.91</v>
      </c>
      <c r="BD119">
        <v>1.82</v>
      </c>
      <c r="BE119">
        <v>2.0499999999999998</v>
      </c>
      <c r="BF119">
        <v>1.97</v>
      </c>
      <c r="BG119">
        <v>18</v>
      </c>
      <c r="BH119">
        <v>-0.5</v>
      </c>
      <c r="BI119">
        <v>1.75</v>
      </c>
      <c r="BJ119">
        <v>1.72</v>
      </c>
      <c r="BK119">
        <v>2.2599999999999998</v>
      </c>
      <c r="BL119">
        <v>2.1800000000000002</v>
      </c>
      <c r="BM119">
        <v>1.68</v>
      </c>
      <c r="BN119">
        <v>3.94</v>
      </c>
      <c r="BO119">
        <v>5.78</v>
      </c>
    </row>
    <row r="120" spans="1:67">
      <c r="A120" t="s">
        <v>63</v>
      </c>
      <c r="B120" s="77">
        <v>41588</v>
      </c>
      <c r="C120" t="s">
        <v>81</v>
      </c>
      <c r="D120" t="s">
        <v>75</v>
      </c>
      <c r="E120">
        <v>1</v>
      </c>
      <c r="F120">
        <v>1</v>
      </c>
      <c r="G120" t="s">
        <v>67</v>
      </c>
      <c r="H120">
        <v>0</v>
      </c>
      <c r="I120">
        <v>0</v>
      </c>
      <c r="J120" t="s">
        <v>67</v>
      </c>
      <c r="K120">
        <v>10</v>
      </c>
      <c r="L120">
        <v>13</v>
      </c>
      <c r="M120">
        <v>4</v>
      </c>
      <c r="N120">
        <v>4</v>
      </c>
      <c r="O120">
        <v>7</v>
      </c>
      <c r="P120">
        <v>12</v>
      </c>
      <c r="Q120">
        <v>4</v>
      </c>
      <c r="R120">
        <v>10</v>
      </c>
      <c r="S120">
        <v>2</v>
      </c>
      <c r="T120">
        <v>2</v>
      </c>
      <c r="U120">
        <v>1</v>
      </c>
      <c r="V120">
        <v>0</v>
      </c>
      <c r="W120">
        <v>2.2999999999999998</v>
      </c>
      <c r="X120">
        <v>3.2</v>
      </c>
      <c r="Y120">
        <v>3.2</v>
      </c>
      <c r="Z120">
        <v>2.35</v>
      </c>
      <c r="AA120">
        <v>3.2</v>
      </c>
      <c r="AB120">
        <v>3.1</v>
      </c>
      <c r="AC120">
        <v>2.25</v>
      </c>
      <c r="AD120">
        <v>3.3</v>
      </c>
      <c r="AE120">
        <v>3</v>
      </c>
      <c r="AF120">
        <v>2.2999999999999998</v>
      </c>
      <c r="AG120">
        <v>3.4</v>
      </c>
      <c r="AH120">
        <v>3</v>
      </c>
      <c r="AI120">
        <v>2.34</v>
      </c>
      <c r="AJ120">
        <v>3.32</v>
      </c>
      <c r="AK120">
        <v>3.42</v>
      </c>
      <c r="AL120">
        <v>2.25</v>
      </c>
      <c r="AM120">
        <v>3.3</v>
      </c>
      <c r="AN120">
        <v>3.2</v>
      </c>
      <c r="AO120">
        <v>2.25</v>
      </c>
      <c r="AP120">
        <v>3.2</v>
      </c>
      <c r="AQ120">
        <v>3.13</v>
      </c>
      <c r="AR120">
        <v>2.2999999999999998</v>
      </c>
      <c r="AS120">
        <v>3.3</v>
      </c>
      <c r="AT120">
        <v>3.3</v>
      </c>
      <c r="AU120">
        <v>37</v>
      </c>
      <c r="AV120">
        <v>2.38</v>
      </c>
      <c r="AW120">
        <v>2.29</v>
      </c>
      <c r="AX120">
        <v>3.4</v>
      </c>
      <c r="AY120">
        <v>3.27</v>
      </c>
      <c r="AZ120">
        <v>3.42</v>
      </c>
      <c r="BA120">
        <v>3.13</v>
      </c>
      <c r="BB120">
        <v>35</v>
      </c>
      <c r="BC120">
        <v>2.06</v>
      </c>
      <c r="BD120">
        <v>1.96</v>
      </c>
      <c r="BE120">
        <v>1.91</v>
      </c>
      <c r="BF120">
        <v>1.83</v>
      </c>
      <c r="BG120">
        <v>18</v>
      </c>
      <c r="BH120">
        <v>-0.25</v>
      </c>
      <c r="BI120">
        <v>2.0099999999999998</v>
      </c>
      <c r="BJ120">
        <v>1.97</v>
      </c>
      <c r="BK120">
        <v>1.95</v>
      </c>
      <c r="BL120">
        <v>1.91</v>
      </c>
      <c r="BM120">
        <v>2.23</v>
      </c>
      <c r="BN120">
        <v>3.34</v>
      </c>
      <c r="BO120">
        <v>3.7</v>
      </c>
    </row>
    <row r="121" spans="1:67">
      <c r="A121" t="s">
        <v>63</v>
      </c>
      <c r="B121" s="77">
        <v>41588</v>
      </c>
      <c r="C121" t="s">
        <v>78</v>
      </c>
      <c r="D121" t="s">
        <v>84</v>
      </c>
      <c r="E121">
        <v>1</v>
      </c>
      <c r="F121">
        <v>1</v>
      </c>
      <c r="G121" t="s">
        <v>67</v>
      </c>
      <c r="H121">
        <v>1</v>
      </c>
      <c r="I121">
        <v>0</v>
      </c>
      <c r="J121" t="s">
        <v>70</v>
      </c>
      <c r="K121">
        <v>16</v>
      </c>
      <c r="L121">
        <v>11</v>
      </c>
      <c r="M121">
        <v>6</v>
      </c>
      <c r="N121">
        <v>7</v>
      </c>
      <c r="O121">
        <v>10</v>
      </c>
      <c r="P121">
        <v>18</v>
      </c>
      <c r="Q121">
        <v>10</v>
      </c>
      <c r="R121">
        <v>3</v>
      </c>
      <c r="S121">
        <v>3</v>
      </c>
      <c r="T121">
        <v>4</v>
      </c>
      <c r="U121">
        <v>0</v>
      </c>
      <c r="V121">
        <v>0</v>
      </c>
      <c r="W121">
        <v>1.22</v>
      </c>
      <c r="X121">
        <v>6</v>
      </c>
      <c r="Y121">
        <v>13</v>
      </c>
      <c r="Z121">
        <v>1.22</v>
      </c>
      <c r="AA121">
        <v>6.5</v>
      </c>
      <c r="AB121">
        <v>11</v>
      </c>
      <c r="AC121">
        <v>1.22</v>
      </c>
      <c r="AD121">
        <v>5.5</v>
      </c>
      <c r="AE121">
        <v>12</v>
      </c>
      <c r="AF121">
        <v>1.22</v>
      </c>
      <c r="AG121">
        <v>6</v>
      </c>
      <c r="AH121">
        <v>12</v>
      </c>
      <c r="AI121">
        <v>1.26</v>
      </c>
      <c r="AJ121">
        <v>6.15</v>
      </c>
      <c r="AK121">
        <v>15.2</v>
      </c>
      <c r="AL121">
        <v>1.22</v>
      </c>
      <c r="AM121">
        <v>6</v>
      </c>
      <c r="AN121">
        <v>13</v>
      </c>
      <c r="AO121">
        <v>1.22</v>
      </c>
      <c r="AP121">
        <v>5.8</v>
      </c>
      <c r="AQ121">
        <v>10</v>
      </c>
      <c r="AR121">
        <v>1.25</v>
      </c>
      <c r="AS121">
        <v>6</v>
      </c>
      <c r="AT121">
        <v>13</v>
      </c>
      <c r="AU121">
        <v>37</v>
      </c>
      <c r="AV121">
        <v>1.26</v>
      </c>
      <c r="AW121">
        <v>1.23</v>
      </c>
      <c r="AX121">
        <v>6.5</v>
      </c>
      <c r="AY121">
        <v>5.95</v>
      </c>
      <c r="AZ121">
        <v>15.05</v>
      </c>
      <c r="BA121">
        <v>12.25</v>
      </c>
      <c r="BB121">
        <v>35</v>
      </c>
      <c r="BC121">
        <v>1.71</v>
      </c>
      <c r="BD121">
        <v>1.66</v>
      </c>
      <c r="BE121">
        <v>2.31</v>
      </c>
      <c r="BF121">
        <v>2.2000000000000002</v>
      </c>
      <c r="BG121">
        <v>20</v>
      </c>
      <c r="BH121">
        <v>-1.5</v>
      </c>
      <c r="BI121">
        <v>1.86</v>
      </c>
      <c r="BJ121">
        <v>1.82</v>
      </c>
      <c r="BK121">
        <v>2.11</v>
      </c>
      <c r="BL121">
        <v>2.0499999999999998</v>
      </c>
      <c r="BM121">
        <v>1.3</v>
      </c>
      <c r="BN121">
        <v>5.99</v>
      </c>
      <c r="BO121">
        <v>11.71</v>
      </c>
    </row>
    <row r="122" spans="1:67">
      <c r="A122" t="s">
        <v>63</v>
      </c>
      <c r="B122" s="77">
        <v>41601</v>
      </c>
      <c r="C122" t="s">
        <v>69</v>
      </c>
      <c r="D122" t="s">
        <v>74</v>
      </c>
      <c r="E122">
        <v>1</v>
      </c>
      <c r="F122">
        <v>1</v>
      </c>
      <c r="G122" t="s">
        <v>67</v>
      </c>
      <c r="H122">
        <v>1</v>
      </c>
      <c r="I122">
        <v>1</v>
      </c>
      <c r="J122" t="s">
        <v>67</v>
      </c>
      <c r="K122">
        <v>39</v>
      </c>
      <c r="L122">
        <v>2</v>
      </c>
      <c r="M122">
        <v>10</v>
      </c>
      <c r="N122">
        <v>1</v>
      </c>
      <c r="O122">
        <v>10</v>
      </c>
      <c r="P122">
        <v>18</v>
      </c>
      <c r="Q122">
        <v>12</v>
      </c>
      <c r="R122">
        <v>0</v>
      </c>
      <c r="S122">
        <v>3</v>
      </c>
      <c r="T122">
        <v>2</v>
      </c>
      <c r="U122">
        <v>0</v>
      </c>
      <c r="V122">
        <v>1</v>
      </c>
      <c r="W122">
        <v>1.44</v>
      </c>
      <c r="X122">
        <v>4.2</v>
      </c>
      <c r="Y122">
        <v>7.5</v>
      </c>
      <c r="Z122">
        <v>1.45</v>
      </c>
      <c r="AA122">
        <v>4.2</v>
      </c>
      <c r="AB122">
        <v>7.25</v>
      </c>
      <c r="AC122">
        <v>1.5</v>
      </c>
      <c r="AD122">
        <v>4</v>
      </c>
      <c r="AE122">
        <v>6.1</v>
      </c>
      <c r="AF122">
        <v>1.5</v>
      </c>
      <c r="AG122">
        <v>4</v>
      </c>
      <c r="AH122">
        <v>6.5</v>
      </c>
      <c r="AI122">
        <v>1.48</v>
      </c>
      <c r="AJ122">
        <v>4.45</v>
      </c>
      <c r="AK122">
        <v>8.4</v>
      </c>
      <c r="AL122">
        <v>1.44</v>
      </c>
      <c r="AM122">
        <v>4</v>
      </c>
      <c r="AN122">
        <v>8</v>
      </c>
      <c r="AO122">
        <v>1.44</v>
      </c>
      <c r="AP122">
        <v>4</v>
      </c>
      <c r="AQ122">
        <v>7</v>
      </c>
      <c r="AR122">
        <v>1.45</v>
      </c>
      <c r="AS122">
        <v>4.4000000000000004</v>
      </c>
      <c r="AT122">
        <v>8.5</v>
      </c>
      <c r="AU122">
        <v>37</v>
      </c>
      <c r="AV122">
        <v>1.5</v>
      </c>
      <c r="AW122">
        <v>1.46</v>
      </c>
      <c r="AX122">
        <v>4.45</v>
      </c>
      <c r="AY122">
        <v>4.17</v>
      </c>
      <c r="AZ122">
        <v>8.5</v>
      </c>
      <c r="BA122">
        <v>7.29</v>
      </c>
      <c r="BB122">
        <v>35</v>
      </c>
      <c r="BC122">
        <v>2.0299999999999998</v>
      </c>
      <c r="BD122">
        <v>1.94</v>
      </c>
      <c r="BE122">
        <v>1.92</v>
      </c>
      <c r="BF122">
        <v>1.84</v>
      </c>
      <c r="BG122">
        <v>21</v>
      </c>
      <c r="BH122">
        <v>-1</v>
      </c>
      <c r="BI122">
        <v>1.85</v>
      </c>
      <c r="BJ122">
        <v>1.79</v>
      </c>
      <c r="BK122">
        <v>2.15</v>
      </c>
      <c r="BL122">
        <v>2.0699999999999998</v>
      </c>
      <c r="BM122">
        <v>1.39</v>
      </c>
      <c r="BN122">
        <v>4.78</v>
      </c>
      <c r="BO122">
        <v>10.7</v>
      </c>
    </row>
    <row r="123" spans="1:67">
      <c r="A123" t="s">
        <v>63</v>
      </c>
      <c r="B123" s="77">
        <v>41601</v>
      </c>
      <c r="C123" t="s">
        <v>79</v>
      </c>
      <c r="D123" t="s">
        <v>81</v>
      </c>
      <c r="E123">
        <v>0</v>
      </c>
      <c r="F123">
        <v>1</v>
      </c>
      <c r="G123" t="s">
        <v>66</v>
      </c>
      <c r="H123">
        <v>0</v>
      </c>
      <c r="I123">
        <v>0</v>
      </c>
      <c r="J123" t="s">
        <v>67</v>
      </c>
      <c r="K123">
        <v>10</v>
      </c>
      <c r="L123">
        <v>12</v>
      </c>
      <c r="M123">
        <v>4</v>
      </c>
      <c r="N123">
        <v>4</v>
      </c>
      <c r="O123">
        <v>9</v>
      </c>
      <c r="P123">
        <v>13</v>
      </c>
      <c r="Q123">
        <v>5</v>
      </c>
      <c r="R123">
        <v>6</v>
      </c>
      <c r="S123">
        <v>2</v>
      </c>
      <c r="T123">
        <v>2</v>
      </c>
      <c r="U123">
        <v>0</v>
      </c>
      <c r="V123">
        <v>0</v>
      </c>
      <c r="W123">
        <v>1.44</v>
      </c>
      <c r="X123">
        <v>4.5</v>
      </c>
      <c r="Y123">
        <v>6.5</v>
      </c>
      <c r="Z123">
        <v>1.45</v>
      </c>
      <c r="AA123">
        <v>4.2</v>
      </c>
      <c r="AB123">
        <v>7.25</v>
      </c>
      <c r="AC123">
        <v>1.45</v>
      </c>
      <c r="AD123">
        <v>4</v>
      </c>
      <c r="AE123">
        <v>7</v>
      </c>
      <c r="AF123">
        <v>1.4</v>
      </c>
      <c r="AG123">
        <v>4.5</v>
      </c>
      <c r="AH123">
        <v>7.5</v>
      </c>
      <c r="AI123">
        <v>1.5</v>
      </c>
      <c r="AJ123">
        <v>4.38</v>
      </c>
      <c r="AK123">
        <v>7.99</v>
      </c>
      <c r="AL123">
        <v>1.5</v>
      </c>
      <c r="AM123">
        <v>4</v>
      </c>
      <c r="AN123">
        <v>7</v>
      </c>
      <c r="AO123">
        <v>1.5</v>
      </c>
      <c r="AP123">
        <v>4</v>
      </c>
      <c r="AQ123">
        <v>6.25</v>
      </c>
      <c r="AR123">
        <v>1.5</v>
      </c>
      <c r="AS123">
        <v>4.5</v>
      </c>
      <c r="AT123">
        <v>7</v>
      </c>
      <c r="AU123">
        <v>37</v>
      </c>
      <c r="AV123">
        <v>1.52</v>
      </c>
      <c r="AW123">
        <v>1.47</v>
      </c>
      <c r="AX123">
        <v>4.5</v>
      </c>
      <c r="AY123">
        <v>4.21</v>
      </c>
      <c r="AZ123">
        <v>7.99</v>
      </c>
      <c r="BA123">
        <v>6.92</v>
      </c>
      <c r="BB123">
        <v>33</v>
      </c>
      <c r="BC123">
        <v>1.77</v>
      </c>
      <c r="BD123">
        <v>1.69</v>
      </c>
      <c r="BE123">
        <v>2.2200000000000002</v>
      </c>
      <c r="BF123">
        <v>2.14</v>
      </c>
      <c r="BG123">
        <v>19</v>
      </c>
      <c r="BH123">
        <v>-1.25</v>
      </c>
      <c r="BI123">
        <v>2.21</v>
      </c>
      <c r="BJ123">
        <v>2.14</v>
      </c>
      <c r="BK123">
        <v>1.85</v>
      </c>
      <c r="BL123">
        <v>1.75</v>
      </c>
      <c r="BM123">
        <v>1.51</v>
      </c>
      <c r="BN123">
        <v>4.71</v>
      </c>
      <c r="BO123">
        <v>6.85</v>
      </c>
    </row>
    <row r="124" spans="1:67">
      <c r="A124" t="s">
        <v>63</v>
      </c>
      <c r="B124" s="77">
        <v>41601</v>
      </c>
      <c r="C124" t="s">
        <v>68</v>
      </c>
      <c r="D124" t="s">
        <v>82</v>
      </c>
      <c r="E124">
        <v>0</v>
      </c>
      <c r="F124">
        <v>1</v>
      </c>
      <c r="G124" t="s">
        <v>66</v>
      </c>
      <c r="H124">
        <v>0</v>
      </c>
      <c r="I124">
        <v>0</v>
      </c>
      <c r="J124" t="s">
        <v>67</v>
      </c>
      <c r="K124">
        <v>6</v>
      </c>
      <c r="L124">
        <v>12</v>
      </c>
      <c r="M124">
        <v>0</v>
      </c>
      <c r="N124">
        <v>3</v>
      </c>
      <c r="O124">
        <v>16</v>
      </c>
      <c r="P124">
        <v>17</v>
      </c>
      <c r="Q124">
        <v>11</v>
      </c>
      <c r="R124">
        <v>7</v>
      </c>
      <c r="S124">
        <v>4</v>
      </c>
      <c r="T124">
        <v>1</v>
      </c>
      <c r="U124">
        <v>0</v>
      </c>
      <c r="V124">
        <v>0</v>
      </c>
      <c r="W124">
        <v>2.1</v>
      </c>
      <c r="X124">
        <v>3.3</v>
      </c>
      <c r="Y124">
        <v>3.5</v>
      </c>
      <c r="Z124">
        <v>2</v>
      </c>
      <c r="AA124">
        <v>3.2</v>
      </c>
      <c r="AB124">
        <v>3.9</v>
      </c>
      <c r="AC124">
        <v>2</v>
      </c>
      <c r="AD124">
        <v>3.3</v>
      </c>
      <c r="AE124">
        <v>3.6</v>
      </c>
      <c r="AF124">
        <v>1.9</v>
      </c>
      <c r="AG124">
        <v>3.4</v>
      </c>
      <c r="AH124">
        <v>4</v>
      </c>
      <c r="AI124">
        <v>2.1800000000000002</v>
      </c>
      <c r="AJ124">
        <v>3.3</v>
      </c>
      <c r="AK124">
        <v>3.85</v>
      </c>
      <c r="AL124">
        <v>2.0499999999999998</v>
      </c>
      <c r="AM124">
        <v>3.2</v>
      </c>
      <c r="AN124">
        <v>3.8</v>
      </c>
      <c r="AO124">
        <v>2.0499999999999998</v>
      </c>
      <c r="AP124">
        <v>3.3</v>
      </c>
      <c r="AQ124">
        <v>3.5</v>
      </c>
      <c r="AR124">
        <v>2.15</v>
      </c>
      <c r="AS124">
        <v>3.4</v>
      </c>
      <c r="AT124">
        <v>3.75</v>
      </c>
      <c r="AU124">
        <v>37</v>
      </c>
      <c r="AV124">
        <v>2.1800000000000002</v>
      </c>
      <c r="AW124">
        <v>2.08</v>
      </c>
      <c r="AX124">
        <v>3.43</v>
      </c>
      <c r="AY124">
        <v>3.29</v>
      </c>
      <c r="AZ124">
        <v>4</v>
      </c>
      <c r="BA124">
        <v>3.6</v>
      </c>
      <c r="BB124">
        <v>35</v>
      </c>
      <c r="BC124">
        <v>2.25</v>
      </c>
      <c r="BD124">
        <v>2.12</v>
      </c>
      <c r="BE124">
        <v>1.77</v>
      </c>
      <c r="BF124">
        <v>1.71</v>
      </c>
      <c r="BG124">
        <v>19</v>
      </c>
      <c r="BH124">
        <v>-0.5</v>
      </c>
      <c r="BI124">
        <v>2.2000000000000002</v>
      </c>
      <c r="BJ124">
        <v>2.12</v>
      </c>
      <c r="BK124">
        <v>1.8</v>
      </c>
      <c r="BL124">
        <v>1.77</v>
      </c>
      <c r="BM124">
        <v>2.2400000000000002</v>
      </c>
      <c r="BN124">
        <v>3.28</v>
      </c>
      <c r="BO124">
        <v>3.72</v>
      </c>
    </row>
    <row r="125" spans="1:67">
      <c r="A125" t="s">
        <v>63</v>
      </c>
      <c r="B125" s="77">
        <v>41602</v>
      </c>
      <c r="C125" t="s">
        <v>80</v>
      </c>
      <c r="D125" t="s">
        <v>73</v>
      </c>
      <c r="E125">
        <v>1</v>
      </c>
      <c r="F125">
        <v>1</v>
      </c>
      <c r="G125" t="s">
        <v>67</v>
      </c>
      <c r="H125">
        <v>1</v>
      </c>
      <c r="I125">
        <v>0</v>
      </c>
      <c r="J125" t="s">
        <v>70</v>
      </c>
      <c r="K125">
        <v>9</v>
      </c>
      <c r="L125">
        <v>22</v>
      </c>
      <c r="M125">
        <v>4</v>
      </c>
      <c r="N125">
        <v>6</v>
      </c>
      <c r="O125">
        <v>10</v>
      </c>
      <c r="P125">
        <v>9</v>
      </c>
      <c r="Q125">
        <v>2</v>
      </c>
      <c r="R125">
        <v>15</v>
      </c>
      <c r="S125">
        <v>4</v>
      </c>
      <c r="T125">
        <v>1</v>
      </c>
      <c r="U125">
        <v>0</v>
      </c>
      <c r="V125">
        <v>0</v>
      </c>
      <c r="W125">
        <v>4</v>
      </c>
      <c r="X125">
        <v>3.4</v>
      </c>
      <c r="Y125">
        <v>1.91</v>
      </c>
      <c r="Z125">
        <v>3.9</v>
      </c>
      <c r="AA125">
        <v>3.4</v>
      </c>
      <c r="AB125">
        <v>1.95</v>
      </c>
      <c r="AC125">
        <v>4</v>
      </c>
      <c r="AD125">
        <v>3.45</v>
      </c>
      <c r="AE125">
        <v>1.85</v>
      </c>
      <c r="AF125">
        <v>3.75</v>
      </c>
      <c r="AG125">
        <v>3.5</v>
      </c>
      <c r="AH125">
        <v>1.95</v>
      </c>
      <c r="AI125">
        <v>4.38</v>
      </c>
      <c r="AJ125">
        <v>3.45</v>
      </c>
      <c r="AK125">
        <v>1.99</v>
      </c>
      <c r="AL125">
        <v>4</v>
      </c>
      <c r="AM125">
        <v>3.2</v>
      </c>
      <c r="AN125">
        <v>2</v>
      </c>
      <c r="AO125">
        <v>3.8</v>
      </c>
      <c r="AP125">
        <v>3.3</v>
      </c>
      <c r="AQ125">
        <v>1.91</v>
      </c>
      <c r="AR125">
        <v>4.2</v>
      </c>
      <c r="AS125">
        <v>3.5</v>
      </c>
      <c r="AT125">
        <v>2</v>
      </c>
      <c r="AU125">
        <v>37</v>
      </c>
      <c r="AV125">
        <v>4.38</v>
      </c>
      <c r="AW125">
        <v>3.94</v>
      </c>
      <c r="AX125">
        <v>3.5</v>
      </c>
      <c r="AY125">
        <v>3.38</v>
      </c>
      <c r="AZ125">
        <v>2</v>
      </c>
      <c r="BA125">
        <v>1.95</v>
      </c>
      <c r="BB125">
        <v>35</v>
      </c>
      <c r="BC125">
        <v>2</v>
      </c>
      <c r="BD125">
        <v>1.91</v>
      </c>
      <c r="BE125">
        <v>1.95</v>
      </c>
      <c r="BF125">
        <v>1.87</v>
      </c>
      <c r="BG125">
        <v>19</v>
      </c>
      <c r="BH125">
        <v>0.5</v>
      </c>
      <c r="BI125">
        <v>1.95</v>
      </c>
      <c r="BJ125">
        <v>1.91</v>
      </c>
      <c r="BK125">
        <v>2</v>
      </c>
      <c r="BL125">
        <v>1.97</v>
      </c>
      <c r="BM125">
        <v>3.97</v>
      </c>
      <c r="BN125">
        <v>3.72</v>
      </c>
      <c r="BO125">
        <v>2.0099999999999998</v>
      </c>
    </row>
    <row r="126" spans="1:67">
      <c r="A126" t="s">
        <v>63</v>
      </c>
      <c r="B126" s="77">
        <v>41602</v>
      </c>
      <c r="C126" t="s">
        <v>77</v>
      </c>
      <c r="D126" t="s">
        <v>65</v>
      </c>
      <c r="E126">
        <v>0</v>
      </c>
      <c r="F126">
        <v>2</v>
      </c>
      <c r="G126" t="s">
        <v>66</v>
      </c>
      <c r="H126">
        <v>0</v>
      </c>
      <c r="I126">
        <v>0</v>
      </c>
      <c r="J126" t="s">
        <v>67</v>
      </c>
      <c r="K126">
        <v>9</v>
      </c>
      <c r="L126">
        <v>21</v>
      </c>
      <c r="M126">
        <v>1</v>
      </c>
      <c r="N126">
        <v>6</v>
      </c>
      <c r="O126">
        <v>14</v>
      </c>
      <c r="P126">
        <v>19</v>
      </c>
      <c r="Q126">
        <v>3</v>
      </c>
      <c r="R126">
        <v>11</v>
      </c>
      <c r="S126">
        <v>4</v>
      </c>
      <c r="T126">
        <v>1</v>
      </c>
      <c r="U126">
        <v>0</v>
      </c>
      <c r="V126">
        <v>0</v>
      </c>
      <c r="W126">
        <v>8.5</v>
      </c>
      <c r="X126">
        <v>4.75</v>
      </c>
      <c r="Y126">
        <v>1.36</v>
      </c>
      <c r="Z126">
        <v>8.5</v>
      </c>
      <c r="AA126">
        <v>4.75</v>
      </c>
      <c r="AB126">
        <v>1.35</v>
      </c>
      <c r="AC126">
        <v>7.3</v>
      </c>
      <c r="AD126">
        <v>4.4000000000000004</v>
      </c>
      <c r="AE126">
        <v>1.4</v>
      </c>
      <c r="AF126">
        <v>8</v>
      </c>
      <c r="AG126">
        <v>4.33</v>
      </c>
      <c r="AH126">
        <v>1.4</v>
      </c>
      <c r="AI126">
        <v>9.76</v>
      </c>
      <c r="AJ126">
        <v>4.92</v>
      </c>
      <c r="AK126">
        <v>1.4</v>
      </c>
      <c r="AL126">
        <v>8</v>
      </c>
      <c r="AM126">
        <v>4.5</v>
      </c>
      <c r="AN126">
        <v>1.4</v>
      </c>
      <c r="AO126">
        <v>8</v>
      </c>
      <c r="AP126">
        <v>4.5</v>
      </c>
      <c r="AQ126">
        <v>1.36</v>
      </c>
      <c r="AR126">
        <v>10</v>
      </c>
      <c r="AS126">
        <v>4.8</v>
      </c>
      <c r="AT126">
        <v>1.4</v>
      </c>
      <c r="AU126">
        <v>37</v>
      </c>
      <c r="AV126">
        <v>10.16</v>
      </c>
      <c r="AW126">
        <v>8.4700000000000006</v>
      </c>
      <c r="AX126">
        <v>5</v>
      </c>
      <c r="AY126">
        <v>4.66</v>
      </c>
      <c r="AZ126">
        <v>1.4</v>
      </c>
      <c r="BA126">
        <v>1.37</v>
      </c>
      <c r="BB126">
        <v>35</v>
      </c>
      <c r="BC126">
        <v>1.86</v>
      </c>
      <c r="BD126">
        <v>1.79</v>
      </c>
      <c r="BE126">
        <v>2.08</v>
      </c>
      <c r="BF126">
        <v>2</v>
      </c>
      <c r="BG126">
        <v>21</v>
      </c>
      <c r="BH126">
        <v>1.5</v>
      </c>
      <c r="BI126">
        <v>1.78</v>
      </c>
      <c r="BJ126">
        <v>1.74</v>
      </c>
      <c r="BK126">
        <v>2.2000000000000002</v>
      </c>
      <c r="BL126">
        <v>2.14</v>
      </c>
      <c r="BM126">
        <v>10.5</v>
      </c>
      <c r="BN126">
        <v>5.55</v>
      </c>
      <c r="BO126">
        <v>1.34</v>
      </c>
    </row>
    <row r="127" spans="1:67">
      <c r="A127" t="s">
        <v>63</v>
      </c>
      <c r="B127" s="77">
        <v>41602</v>
      </c>
      <c r="C127" t="s">
        <v>64</v>
      </c>
      <c r="D127" t="s">
        <v>75</v>
      </c>
      <c r="E127">
        <v>1</v>
      </c>
      <c r="F127">
        <v>1</v>
      </c>
      <c r="G127" t="s">
        <v>67</v>
      </c>
      <c r="H127">
        <v>0</v>
      </c>
      <c r="I127">
        <v>0</v>
      </c>
      <c r="J127" t="s">
        <v>67</v>
      </c>
      <c r="K127">
        <v>10</v>
      </c>
      <c r="L127">
        <v>12</v>
      </c>
      <c r="M127">
        <v>5</v>
      </c>
      <c r="N127">
        <v>2</v>
      </c>
      <c r="O127">
        <v>16</v>
      </c>
      <c r="P127">
        <v>17</v>
      </c>
      <c r="Q127">
        <v>3</v>
      </c>
      <c r="R127">
        <v>4</v>
      </c>
      <c r="S127">
        <v>3</v>
      </c>
      <c r="T127">
        <v>3</v>
      </c>
      <c r="U127">
        <v>1</v>
      </c>
      <c r="V127">
        <v>0</v>
      </c>
      <c r="W127">
        <v>3</v>
      </c>
      <c r="X127">
        <v>3.2</v>
      </c>
      <c r="Y127">
        <v>2.38</v>
      </c>
      <c r="Z127">
        <v>2.95</v>
      </c>
      <c r="AA127">
        <v>3.1</v>
      </c>
      <c r="AB127">
        <v>2.5</v>
      </c>
      <c r="AC127">
        <v>2.65</v>
      </c>
      <c r="AD127">
        <v>3.3</v>
      </c>
      <c r="AE127">
        <v>2.5</v>
      </c>
      <c r="AF127">
        <v>2.87</v>
      </c>
      <c r="AG127">
        <v>3.25</v>
      </c>
      <c r="AH127">
        <v>2.4500000000000002</v>
      </c>
      <c r="AI127">
        <v>3.24</v>
      </c>
      <c r="AJ127">
        <v>3.17</v>
      </c>
      <c r="AK127">
        <v>2.5299999999999998</v>
      </c>
      <c r="AL127">
        <v>3</v>
      </c>
      <c r="AM127">
        <v>3</v>
      </c>
      <c r="AN127">
        <v>2.5</v>
      </c>
      <c r="AO127">
        <v>3</v>
      </c>
      <c r="AP127">
        <v>3.13</v>
      </c>
      <c r="AQ127">
        <v>2.38</v>
      </c>
      <c r="AR127">
        <v>3.2</v>
      </c>
      <c r="AS127">
        <v>3.2</v>
      </c>
      <c r="AT127">
        <v>2.5</v>
      </c>
      <c r="AU127">
        <v>37</v>
      </c>
      <c r="AV127">
        <v>3.24</v>
      </c>
      <c r="AW127">
        <v>2.97</v>
      </c>
      <c r="AX127">
        <v>3.3</v>
      </c>
      <c r="AY127">
        <v>3.16</v>
      </c>
      <c r="AZ127">
        <v>2.5299999999999998</v>
      </c>
      <c r="BA127">
        <v>2.44</v>
      </c>
      <c r="BB127">
        <v>33</v>
      </c>
      <c r="BC127">
        <v>2.38</v>
      </c>
      <c r="BD127">
        <v>2.23</v>
      </c>
      <c r="BE127">
        <v>1.67</v>
      </c>
      <c r="BF127">
        <v>1.63</v>
      </c>
      <c r="BG127">
        <v>19</v>
      </c>
      <c r="BH127">
        <v>0</v>
      </c>
      <c r="BI127">
        <v>2.23</v>
      </c>
      <c r="BJ127">
        <v>2.15</v>
      </c>
      <c r="BK127">
        <v>1.76</v>
      </c>
      <c r="BL127">
        <v>1.72</v>
      </c>
      <c r="BM127">
        <v>3.26</v>
      </c>
      <c r="BN127">
        <v>3.21</v>
      </c>
      <c r="BO127">
        <v>2.4700000000000002</v>
      </c>
    </row>
    <row r="128" spans="1:67">
      <c r="A128" t="s">
        <v>63</v>
      </c>
      <c r="B128" s="77">
        <v>41602</v>
      </c>
      <c r="C128" t="s">
        <v>84</v>
      </c>
      <c r="D128" t="s">
        <v>72</v>
      </c>
      <c r="E128">
        <v>2</v>
      </c>
      <c r="F128">
        <v>0</v>
      </c>
      <c r="G128" t="s">
        <v>70</v>
      </c>
      <c r="H128">
        <v>0</v>
      </c>
      <c r="I128">
        <v>0</v>
      </c>
      <c r="J128" t="s">
        <v>67</v>
      </c>
      <c r="K128">
        <v>17</v>
      </c>
      <c r="L128">
        <v>13</v>
      </c>
      <c r="M128">
        <v>6</v>
      </c>
      <c r="N128">
        <v>4</v>
      </c>
      <c r="O128">
        <v>21</v>
      </c>
      <c r="P128">
        <v>25</v>
      </c>
      <c r="Q128">
        <v>5</v>
      </c>
      <c r="R128">
        <v>2</v>
      </c>
      <c r="S128">
        <v>1</v>
      </c>
      <c r="T128">
        <v>2</v>
      </c>
      <c r="U128">
        <v>1</v>
      </c>
      <c r="V128">
        <v>0</v>
      </c>
      <c r="W128">
        <v>2.2000000000000002</v>
      </c>
      <c r="X128">
        <v>3.2</v>
      </c>
      <c r="Y128">
        <v>3.4</v>
      </c>
      <c r="Z128">
        <v>2.25</v>
      </c>
      <c r="AA128">
        <v>3.2</v>
      </c>
      <c r="AB128">
        <v>3.25</v>
      </c>
      <c r="AC128">
        <v>2.2999999999999998</v>
      </c>
      <c r="AD128">
        <v>3.2</v>
      </c>
      <c r="AE128">
        <v>3</v>
      </c>
      <c r="AF128">
        <v>2.25</v>
      </c>
      <c r="AG128">
        <v>3.25</v>
      </c>
      <c r="AH128">
        <v>3.2</v>
      </c>
      <c r="AI128">
        <v>2.2400000000000002</v>
      </c>
      <c r="AJ128">
        <v>3.27</v>
      </c>
      <c r="AK128">
        <v>3.73</v>
      </c>
      <c r="AL128">
        <v>2.2999999999999998</v>
      </c>
      <c r="AM128">
        <v>3</v>
      </c>
      <c r="AN128">
        <v>3.4</v>
      </c>
      <c r="AO128">
        <v>2.2000000000000002</v>
      </c>
      <c r="AP128">
        <v>3.2</v>
      </c>
      <c r="AQ128">
        <v>3.25</v>
      </c>
      <c r="AR128">
        <v>2.25</v>
      </c>
      <c r="AS128">
        <v>3.25</v>
      </c>
      <c r="AT128">
        <v>3.6</v>
      </c>
      <c r="AU128">
        <v>37</v>
      </c>
      <c r="AV128">
        <v>2.2999999999999998</v>
      </c>
      <c r="AW128">
        <v>2.23</v>
      </c>
      <c r="AX128">
        <v>3.35</v>
      </c>
      <c r="AY128">
        <v>3.2</v>
      </c>
      <c r="AZ128">
        <v>3.73</v>
      </c>
      <c r="BA128">
        <v>3.32</v>
      </c>
      <c r="BB128">
        <v>35</v>
      </c>
      <c r="BC128">
        <v>2.2000000000000002</v>
      </c>
      <c r="BD128">
        <v>2.08</v>
      </c>
      <c r="BE128">
        <v>1.79</v>
      </c>
      <c r="BF128">
        <v>1.73</v>
      </c>
      <c r="BG128">
        <v>19</v>
      </c>
      <c r="BH128">
        <v>-0.5</v>
      </c>
      <c r="BI128">
        <v>2.27</v>
      </c>
      <c r="BJ128">
        <v>2.21</v>
      </c>
      <c r="BK128">
        <v>1.75</v>
      </c>
      <c r="BL128">
        <v>1.7</v>
      </c>
      <c r="BM128">
        <v>2.25</v>
      </c>
      <c r="BN128">
        <v>3.26</v>
      </c>
      <c r="BO128">
        <v>3.71</v>
      </c>
    </row>
    <row r="129" spans="1:67">
      <c r="A129" t="s">
        <v>63</v>
      </c>
      <c r="B129" s="77">
        <v>41602</v>
      </c>
      <c r="C129" t="s">
        <v>83</v>
      </c>
      <c r="D129" t="s">
        <v>86</v>
      </c>
      <c r="E129">
        <v>4</v>
      </c>
      <c r="F129">
        <v>1</v>
      </c>
      <c r="G129" t="s">
        <v>70</v>
      </c>
      <c r="H129">
        <v>2</v>
      </c>
      <c r="I129">
        <v>0</v>
      </c>
      <c r="J129" t="s">
        <v>70</v>
      </c>
      <c r="K129">
        <v>22</v>
      </c>
      <c r="L129">
        <v>15</v>
      </c>
      <c r="M129">
        <v>7</v>
      </c>
      <c r="N129">
        <v>5</v>
      </c>
      <c r="O129">
        <v>10</v>
      </c>
      <c r="P129">
        <v>21</v>
      </c>
      <c r="Q129">
        <v>7</v>
      </c>
      <c r="R129">
        <v>6</v>
      </c>
      <c r="S129">
        <v>3</v>
      </c>
      <c r="T129">
        <v>5</v>
      </c>
      <c r="U129">
        <v>0</v>
      </c>
      <c r="V129">
        <v>0</v>
      </c>
      <c r="W129">
        <v>1.8</v>
      </c>
      <c r="X129">
        <v>3.5</v>
      </c>
      <c r="Y129">
        <v>4.5</v>
      </c>
      <c r="Z129">
        <v>1.75</v>
      </c>
      <c r="AA129">
        <v>3.5</v>
      </c>
      <c r="AB129">
        <v>4.75</v>
      </c>
      <c r="AC129">
        <v>1.85</v>
      </c>
      <c r="AD129">
        <v>3.45</v>
      </c>
      <c r="AE129">
        <v>4</v>
      </c>
      <c r="AF129">
        <v>1.8</v>
      </c>
      <c r="AG129">
        <v>3.5</v>
      </c>
      <c r="AH129">
        <v>4.5</v>
      </c>
      <c r="AI129">
        <v>1.78</v>
      </c>
      <c r="AJ129">
        <v>3.6</v>
      </c>
      <c r="AK129">
        <v>5.5</v>
      </c>
      <c r="AL129">
        <v>1.83</v>
      </c>
      <c r="AM129">
        <v>3.1</v>
      </c>
      <c r="AN129">
        <v>5</v>
      </c>
      <c r="AO129">
        <v>1.8</v>
      </c>
      <c r="AP129">
        <v>3.3</v>
      </c>
      <c r="AQ129">
        <v>4.8</v>
      </c>
      <c r="AR129">
        <v>1.8</v>
      </c>
      <c r="AS129">
        <v>3.6</v>
      </c>
      <c r="AT129">
        <v>5.4</v>
      </c>
      <c r="AU129">
        <v>37</v>
      </c>
      <c r="AV129">
        <v>1.85</v>
      </c>
      <c r="AW129">
        <v>1.79</v>
      </c>
      <c r="AX129">
        <v>3.6</v>
      </c>
      <c r="AY129">
        <v>3.41</v>
      </c>
      <c r="AZ129">
        <v>5.46</v>
      </c>
      <c r="BA129">
        <v>4.78</v>
      </c>
      <c r="BB129">
        <v>35</v>
      </c>
      <c r="BC129">
        <v>2.2799999999999998</v>
      </c>
      <c r="BD129">
        <v>2.14</v>
      </c>
      <c r="BE129">
        <v>1.75</v>
      </c>
      <c r="BF129">
        <v>1.69</v>
      </c>
      <c r="BG129">
        <v>19</v>
      </c>
      <c r="BH129">
        <v>-0.75</v>
      </c>
      <c r="BI129">
        <v>2.0499999999999998</v>
      </c>
      <c r="BJ129">
        <v>2.0099999999999998</v>
      </c>
      <c r="BK129">
        <v>1.92</v>
      </c>
      <c r="BL129">
        <v>1.86</v>
      </c>
      <c r="BM129">
        <v>1.63</v>
      </c>
      <c r="BN129">
        <v>3.88</v>
      </c>
      <c r="BO129">
        <v>6.68</v>
      </c>
    </row>
    <row r="130" spans="1:67">
      <c r="A130" t="s">
        <v>63</v>
      </c>
      <c r="B130" s="77">
        <v>41602</v>
      </c>
      <c r="C130" t="s">
        <v>76</v>
      </c>
      <c r="D130" t="s">
        <v>85</v>
      </c>
      <c r="E130">
        <v>1</v>
      </c>
      <c r="F130">
        <v>0</v>
      </c>
      <c r="G130" t="s">
        <v>70</v>
      </c>
      <c r="H130">
        <v>1</v>
      </c>
      <c r="I130">
        <v>0</v>
      </c>
      <c r="J130" t="s">
        <v>70</v>
      </c>
      <c r="K130">
        <v>22</v>
      </c>
      <c r="L130">
        <v>15</v>
      </c>
      <c r="M130">
        <v>11</v>
      </c>
      <c r="N130">
        <v>5</v>
      </c>
      <c r="O130">
        <v>22</v>
      </c>
      <c r="P130">
        <v>8</v>
      </c>
      <c r="Q130">
        <v>6</v>
      </c>
      <c r="R130">
        <v>6</v>
      </c>
      <c r="S130">
        <v>2</v>
      </c>
      <c r="T130">
        <v>2</v>
      </c>
      <c r="U130">
        <v>0</v>
      </c>
      <c r="V130">
        <v>0</v>
      </c>
      <c r="W130">
        <v>2.8</v>
      </c>
      <c r="X130">
        <v>3.1</v>
      </c>
      <c r="Y130">
        <v>2.6</v>
      </c>
      <c r="Z130">
        <v>2.8</v>
      </c>
      <c r="AA130">
        <v>3.2</v>
      </c>
      <c r="AB130">
        <v>2.5</v>
      </c>
      <c r="AC130">
        <v>2.75</v>
      </c>
      <c r="AD130">
        <v>3.3</v>
      </c>
      <c r="AE130">
        <v>2.4</v>
      </c>
      <c r="AF130">
        <v>2.8</v>
      </c>
      <c r="AG130">
        <v>3.4</v>
      </c>
      <c r="AH130">
        <v>2.4</v>
      </c>
      <c r="AI130">
        <v>2.94</v>
      </c>
      <c r="AJ130">
        <v>3.14</v>
      </c>
      <c r="AK130">
        <v>2.77</v>
      </c>
      <c r="AL130">
        <v>2.7</v>
      </c>
      <c r="AM130">
        <v>3.1</v>
      </c>
      <c r="AN130">
        <v>2.7</v>
      </c>
      <c r="AO130">
        <v>2.75</v>
      </c>
      <c r="AP130">
        <v>3.2</v>
      </c>
      <c r="AQ130">
        <v>2.5</v>
      </c>
      <c r="AR130">
        <v>2.88</v>
      </c>
      <c r="AS130">
        <v>3.25</v>
      </c>
      <c r="AT130">
        <v>2.7</v>
      </c>
      <c r="AU130">
        <v>37</v>
      </c>
      <c r="AV130">
        <v>2.94</v>
      </c>
      <c r="AW130">
        <v>2.77</v>
      </c>
      <c r="AX130">
        <v>3.4</v>
      </c>
      <c r="AY130">
        <v>3.18</v>
      </c>
      <c r="AZ130">
        <v>2.77</v>
      </c>
      <c r="BA130">
        <v>2.59</v>
      </c>
      <c r="BB130">
        <v>35</v>
      </c>
      <c r="BC130">
        <v>2.2000000000000002</v>
      </c>
      <c r="BD130">
        <v>2.0699999999999998</v>
      </c>
      <c r="BE130">
        <v>1.8</v>
      </c>
      <c r="BF130">
        <v>1.74</v>
      </c>
      <c r="BG130">
        <v>19</v>
      </c>
      <c r="BH130">
        <v>0</v>
      </c>
      <c r="BI130">
        <v>2.04</v>
      </c>
      <c r="BJ130">
        <v>1.99</v>
      </c>
      <c r="BK130">
        <v>1.93</v>
      </c>
      <c r="BL130">
        <v>1.86</v>
      </c>
      <c r="BM130">
        <v>3.11</v>
      </c>
      <c r="BN130">
        <v>3.31</v>
      </c>
      <c r="BO130">
        <v>2.5299999999999998</v>
      </c>
    </row>
    <row r="131" spans="1:67">
      <c r="A131" t="s">
        <v>63</v>
      </c>
      <c r="B131" s="77">
        <v>41603</v>
      </c>
      <c r="C131" t="s">
        <v>78</v>
      </c>
      <c r="D131" t="s">
        <v>71</v>
      </c>
      <c r="E131">
        <v>0</v>
      </c>
      <c r="F131">
        <v>0</v>
      </c>
      <c r="G131" t="s">
        <v>67</v>
      </c>
      <c r="H131">
        <v>0</v>
      </c>
      <c r="I131">
        <v>0</v>
      </c>
      <c r="J131" t="s">
        <v>67</v>
      </c>
      <c r="K131">
        <v>19</v>
      </c>
      <c r="L131">
        <v>8</v>
      </c>
      <c r="M131">
        <v>5</v>
      </c>
      <c r="N131">
        <v>2</v>
      </c>
      <c r="O131">
        <v>9</v>
      </c>
      <c r="P131">
        <v>11</v>
      </c>
      <c r="Q131">
        <v>19</v>
      </c>
      <c r="R131">
        <v>7</v>
      </c>
      <c r="S131">
        <v>2</v>
      </c>
      <c r="T131">
        <v>4</v>
      </c>
      <c r="U131">
        <v>0</v>
      </c>
      <c r="V131">
        <v>0</v>
      </c>
      <c r="W131">
        <v>1.44</v>
      </c>
      <c r="X131">
        <v>4.33</v>
      </c>
      <c r="Y131">
        <v>7</v>
      </c>
      <c r="Z131">
        <v>1.42</v>
      </c>
      <c r="AA131">
        <v>4.33</v>
      </c>
      <c r="AB131">
        <v>7.75</v>
      </c>
      <c r="AC131">
        <v>1.35</v>
      </c>
      <c r="AD131">
        <v>4.8</v>
      </c>
      <c r="AE131">
        <v>7.6</v>
      </c>
      <c r="AF131">
        <v>1.4</v>
      </c>
      <c r="AG131">
        <v>4.33</v>
      </c>
      <c r="AH131">
        <v>8</v>
      </c>
      <c r="AI131">
        <v>1.41</v>
      </c>
      <c r="AJ131">
        <v>4.8099999999999996</v>
      </c>
      <c r="AK131">
        <v>9.57</v>
      </c>
      <c r="AL131">
        <v>1.44</v>
      </c>
      <c r="AM131">
        <v>4</v>
      </c>
      <c r="AN131">
        <v>8</v>
      </c>
      <c r="AO131">
        <v>1.4</v>
      </c>
      <c r="AP131">
        <v>4.33</v>
      </c>
      <c r="AQ131">
        <v>7.5</v>
      </c>
      <c r="AR131">
        <v>1.44</v>
      </c>
      <c r="AS131">
        <v>4.8</v>
      </c>
      <c r="AT131">
        <v>8.5</v>
      </c>
      <c r="AU131">
        <v>37</v>
      </c>
      <c r="AV131">
        <v>1.44</v>
      </c>
      <c r="AW131">
        <v>1.4</v>
      </c>
      <c r="AX131">
        <v>4.8099999999999996</v>
      </c>
      <c r="AY131">
        <v>4.3899999999999997</v>
      </c>
      <c r="AZ131">
        <v>9.57</v>
      </c>
      <c r="BA131">
        <v>8.1199999999999992</v>
      </c>
      <c r="BB131">
        <v>35</v>
      </c>
      <c r="BC131">
        <v>1.92</v>
      </c>
      <c r="BD131">
        <v>1.83</v>
      </c>
      <c r="BE131">
        <v>2.0499999999999998</v>
      </c>
      <c r="BF131">
        <v>1.96</v>
      </c>
      <c r="BG131">
        <v>21</v>
      </c>
      <c r="BH131">
        <v>-1.5</v>
      </c>
      <c r="BI131">
        <v>2.33</v>
      </c>
      <c r="BJ131">
        <v>2.2400000000000002</v>
      </c>
      <c r="BK131">
        <v>1.71</v>
      </c>
      <c r="BL131">
        <v>1.67</v>
      </c>
      <c r="BM131">
        <v>1.42</v>
      </c>
      <c r="BN131">
        <v>4.92</v>
      </c>
      <c r="BO131">
        <v>8.99</v>
      </c>
    </row>
    <row r="132" spans="1:67">
      <c r="A132" t="s">
        <v>63</v>
      </c>
      <c r="B132" s="77">
        <v>41608</v>
      </c>
      <c r="C132" t="s">
        <v>74</v>
      </c>
      <c r="D132" t="s">
        <v>83</v>
      </c>
      <c r="E132">
        <v>1</v>
      </c>
      <c r="F132">
        <v>1</v>
      </c>
      <c r="G132" t="s">
        <v>67</v>
      </c>
      <c r="H132">
        <v>0</v>
      </c>
      <c r="I132">
        <v>1</v>
      </c>
      <c r="J132" t="s">
        <v>66</v>
      </c>
      <c r="K132">
        <v>16</v>
      </c>
      <c r="L132">
        <v>21</v>
      </c>
      <c r="M132">
        <v>7</v>
      </c>
      <c r="N132">
        <v>10</v>
      </c>
      <c r="O132">
        <v>15</v>
      </c>
      <c r="P132">
        <v>15</v>
      </c>
      <c r="Q132">
        <v>5</v>
      </c>
      <c r="R132">
        <v>9</v>
      </c>
      <c r="S132">
        <v>3</v>
      </c>
      <c r="T132">
        <v>2</v>
      </c>
      <c r="U132">
        <v>0</v>
      </c>
      <c r="V132">
        <v>0</v>
      </c>
      <c r="W132">
        <v>2.38</v>
      </c>
      <c r="X132">
        <v>3.2</v>
      </c>
      <c r="Y132">
        <v>3.1</v>
      </c>
      <c r="Z132">
        <v>2.25</v>
      </c>
      <c r="AA132">
        <v>3.2</v>
      </c>
      <c r="AB132">
        <v>3.25</v>
      </c>
      <c r="AC132">
        <v>2.1</v>
      </c>
      <c r="AD132">
        <v>3.25</v>
      </c>
      <c r="AE132">
        <v>3.35</v>
      </c>
      <c r="AF132">
        <v>2.2000000000000002</v>
      </c>
      <c r="AG132">
        <v>3.25</v>
      </c>
      <c r="AH132">
        <v>3.3</v>
      </c>
      <c r="AI132">
        <v>2.46</v>
      </c>
      <c r="AJ132">
        <v>3.23</v>
      </c>
      <c r="AK132">
        <v>3.29</v>
      </c>
      <c r="AL132">
        <v>2.4</v>
      </c>
      <c r="AM132">
        <v>3.1</v>
      </c>
      <c r="AN132">
        <v>3.1</v>
      </c>
      <c r="AO132">
        <v>2.2999999999999998</v>
      </c>
      <c r="AP132">
        <v>3.13</v>
      </c>
      <c r="AQ132">
        <v>3</v>
      </c>
      <c r="AR132">
        <v>2.5</v>
      </c>
      <c r="AS132">
        <v>3.2</v>
      </c>
      <c r="AT132">
        <v>3.2</v>
      </c>
      <c r="AU132">
        <v>38</v>
      </c>
      <c r="AV132">
        <v>2.5</v>
      </c>
      <c r="AW132">
        <v>2.35</v>
      </c>
      <c r="AX132">
        <v>3.3</v>
      </c>
      <c r="AY132">
        <v>3.18</v>
      </c>
      <c r="AZ132">
        <v>3.35</v>
      </c>
      <c r="BA132">
        <v>3.1</v>
      </c>
      <c r="BB132">
        <v>36</v>
      </c>
      <c r="BC132">
        <v>2.2000000000000002</v>
      </c>
      <c r="BD132">
        <v>2.09</v>
      </c>
      <c r="BE132">
        <v>1.8</v>
      </c>
      <c r="BF132">
        <v>1.72</v>
      </c>
      <c r="BG132">
        <v>20</v>
      </c>
      <c r="BH132">
        <v>-0.25</v>
      </c>
      <c r="BI132">
        <v>2.11</v>
      </c>
      <c r="BJ132">
        <v>2.06</v>
      </c>
      <c r="BK132">
        <v>1.88</v>
      </c>
      <c r="BL132">
        <v>1.82</v>
      </c>
      <c r="BM132">
        <v>2.93</v>
      </c>
      <c r="BN132">
        <v>3.09</v>
      </c>
      <c r="BO132">
        <v>2.58</v>
      </c>
    </row>
    <row r="133" spans="1:67">
      <c r="A133" t="s">
        <v>63</v>
      </c>
      <c r="B133" s="77">
        <v>41608</v>
      </c>
      <c r="C133" t="s">
        <v>81</v>
      </c>
      <c r="D133" t="s">
        <v>80</v>
      </c>
      <c r="E133">
        <v>1</v>
      </c>
      <c r="F133">
        <v>1</v>
      </c>
      <c r="G133" t="s">
        <v>67</v>
      </c>
      <c r="H133">
        <v>1</v>
      </c>
      <c r="I133">
        <v>1</v>
      </c>
      <c r="J133" t="s">
        <v>67</v>
      </c>
      <c r="K133">
        <v>18</v>
      </c>
      <c r="L133">
        <v>7</v>
      </c>
      <c r="M133">
        <v>8</v>
      </c>
      <c r="N133">
        <v>4</v>
      </c>
      <c r="O133">
        <v>17</v>
      </c>
      <c r="P133">
        <v>14</v>
      </c>
      <c r="Q133">
        <v>11</v>
      </c>
      <c r="R133">
        <v>2</v>
      </c>
      <c r="S133">
        <v>6</v>
      </c>
      <c r="T133">
        <v>2</v>
      </c>
      <c r="U133">
        <v>0</v>
      </c>
      <c r="V133">
        <v>1</v>
      </c>
      <c r="W133">
        <v>1.8</v>
      </c>
      <c r="X133">
        <v>3.5</v>
      </c>
      <c r="Y133">
        <v>4.5</v>
      </c>
      <c r="Z133">
        <v>1.75</v>
      </c>
      <c r="AA133">
        <v>3.5</v>
      </c>
      <c r="AB133">
        <v>4.75</v>
      </c>
      <c r="AC133">
        <v>1.8</v>
      </c>
      <c r="AD133">
        <v>3.5</v>
      </c>
      <c r="AE133">
        <v>4.2</v>
      </c>
      <c r="AF133">
        <v>1.85</v>
      </c>
      <c r="AG133">
        <v>3.4</v>
      </c>
      <c r="AH133">
        <v>4.33</v>
      </c>
      <c r="AI133">
        <v>1.81</v>
      </c>
      <c r="AJ133">
        <v>3.63</v>
      </c>
      <c r="AK133">
        <v>5.2</v>
      </c>
      <c r="AL133">
        <v>1.83</v>
      </c>
      <c r="AM133">
        <v>3.2</v>
      </c>
      <c r="AN133">
        <v>5</v>
      </c>
      <c r="AO133">
        <v>1.8</v>
      </c>
      <c r="AP133">
        <v>3.4</v>
      </c>
      <c r="AQ133">
        <v>4.5</v>
      </c>
      <c r="AR133">
        <v>1.83</v>
      </c>
      <c r="AS133">
        <v>3.6</v>
      </c>
      <c r="AT133">
        <v>5</v>
      </c>
      <c r="AU133">
        <v>38</v>
      </c>
      <c r="AV133">
        <v>1.85</v>
      </c>
      <c r="AW133">
        <v>1.8</v>
      </c>
      <c r="AX133">
        <v>3.63</v>
      </c>
      <c r="AY133">
        <v>3.43</v>
      </c>
      <c r="AZ133">
        <v>5.2</v>
      </c>
      <c r="BA133">
        <v>4.68</v>
      </c>
      <c r="BB133">
        <v>36</v>
      </c>
      <c r="BC133">
        <v>2.13</v>
      </c>
      <c r="BD133">
        <v>2.04</v>
      </c>
      <c r="BE133">
        <v>1.81</v>
      </c>
      <c r="BF133">
        <v>1.76</v>
      </c>
      <c r="BG133">
        <v>20</v>
      </c>
      <c r="BH133">
        <v>-0.5</v>
      </c>
      <c r="BI133">
        <v>1.83</v>
      </c>
      <c r="BJ133">
        <v>1.78</v>
      </c>
      <c r="BK133">
        <v>2.15</v>
      </c>
      <c r="BL133">
        <v>2.09</v>
      </c>
      <c r="BM133">
        <v>1.68</v>
      </c>
      <c r="BN133">
        <v>3.89</v>
      </c>
      <c r="BO133">
        <v>5.97</v>
      </c>
    </row>
    <row r="134" spans="1:67">
      <c r="A134" t="s">
        <v>63</v>
      </c>
      <c r="B134" s="77">
        <v>41609</v>
      </c>
      <c r="C134" t="s">
        <v>72</v>
      </c>
      <c r="D134" t="s">
        <v>78</v>
      </c>
      <c r="E134">
        <v>1</v>
      </c>
      <c r="F134">
        <v>1</v>
      </c>
      <c r="G134" t="s">
        <v>67</v>
      </c>
      <c r="H134">
        <v>0</v>
      </c>
      <c r="I134">
        <v>0</v>
      </c>
      <c r="J134" t="s">
        <v>67</v>
      </c>
      <c r="K134">
        <v>7</v>
      </c>
      <c r="L134">
        <v>17</v>
      </c>
      <c r="M134">
        <v>3</v>
      </c>
      <c r="N134">
        <v>7</v>
      </c>
      <c r="O134">
        <v>10</v>
      </c>
      <c r="P134">
        <v>21</v>
      </c>
      <c r="Q134">
        <v>2</v>
      </c>
      <c r="R134">
        <v>7</v>
      </c>
      <c r="S134">
        <v>3</v>
      </c>
      <c r="T134">
        <v>2</v>
      </c>
      <c r="U134">
        <v>0</v>
      </c>
      <c r="V134">
        <v>0</v>
      </c>
      <c r="W134">
        <v>4</v>
      </c>
      <c r="X134">
        <v>3.4</v>
      </c>
      <c r="Y134">
        <v>1.91</v>
      </c>
      <c r="Z134">
        <v>4.0999999999999996</v>
      </c>
      <c r="AA134">
        <v>3.4</v>
      </c>
      <c r="AB134">
        <v>1.91</v>
      </c>
      <c r="AC134">
        <v>3.6</v>
      </c>
      <c r="AD134">
        <v>3.3</v>
      </c>
      <c r="AE134">
        <v>2</v>
      </c>
      <c r="AF134">
        <v>4</v>
      </c>
      <c r="AG134">
        <v>3.4</v>
      </c>
      <c r="AH134">
        <v>1.9</v>
      </c>
      <c r="AI134">
        <v>4.6900000000000004</v>
      </c>
      <c r="AJ134">
        <v>3.53</v>
      </c>
      <c r="AK134">
        <v>1.91</v>
      </c>
      <c r="AL134">
        <v>4.2</v>
      </c>
      <c r="AM134">
        <v>3.2</v>
      </c>
      <c r="AN134">
        <v>1.95</v>
      </c>
      <c r="AO134">
        <v>3.8</v>
      </c>
      <c r="AP134">
        <v>3.4</v>
      </c>
      <c r="AQ134">
        <v>1.91</v>
      </c>
      <c r="AR134">
        <v>4.4000000000000004</v>
      </c>
      <c r="AS134">
        <v>3.5</v>
      </c>
      <c r="AT134">
        <v>1.95</v>
      </c>
      <c r="AU134">
        <v>38</v>
      </c>
      <c r="AV134">
        <v>4.6900000000000004</v>
      </c>
      <c r="AW134">
        <v>4.1100000000000003</v>
      </c>
      <c r="AX134">
        <v>3.53</v>
      </c>
      <c r="AY134">
        <v>3.39</v>
      </c>
      <c r="AZ134">
        <v>2</v>
      </c>
      <c r="BA134">
        <v>1.91</v>
      </c>
      <c r="BB134">
        <v>36</v>
      </c>
      <c r="BC134">
        <v>2.15</v>
      </c>
      <c r="BD134">
        <v>2.0499999999999998</v>
      </c>
      <c r="BE134">
        <v>1.8</v>
      </c>
      <c r="BF134">
        <v>1.75</v>
      </c>
      <c r="BG134">
        <v>20</v>
      </c>
      <c r="BH134">
        <v>0.75</v>
      </c>
      <c r="BI134">
        <v>1.77</v>
      </c>
      <c r="BJ134">
        <v>1.72</v>
      </c>
      <c r="BK134">
        <v>2.23</v>
      </c>
      <c r="BL134">
        <v>2.17</v>
      </c>
      <c r="BM134">
        <v>4.46</v>
      </c>
      <c r="BN134">
        <v>3.82</v>
      </c>
      <c r="BO134">
        <v>1.85</v>
      </c>
    </row>
    <row r="135" spans="1:67">
      <c r="A135" t="s">
        <v>63</v>
      </c>
      <c r="B135" s="77">
        <v>41609</v>
      </c>
      <c r="C135" t="s">
        <v>71</v>
      </c>
      <c r="D135" t="s">
        <v>84</v>
      </c>
      <c r="E135">
        <v>2</v>
      </c>
      <c r="F135">
        <v>2</v>
      </c>
      <c r="G135" t="s">
        <v>67</v>
      </c>
      <c r="H135">
        <v>0</v>
      </c>
      <c r="I135">
        <v>2</v>
      </c>
      <c r="J135" t="s">
        <v>66</v>
      </c>
      <c r="K135">
        <v>16</v>
      </c>
      <c r="L135">
        <v>12</v>
      </c>
      <c r="M135">
        <v>7</v>
      </c>
      <c r="N135">
        <v>4</v>
      </c>
      <c r="O135">
        <v>12</v>
      </c>
      <c r="P135">
        <v>15</v>
      </c>
      <c r="Q135">
        <v>6</v>
      </c>
      <c r="R135">
        <v>2</v>
      </c>
      <c r="S135">
        <v>2</v>
      </c>
      <c r="T135">
        <v>1</v>
      </c>
      <c r="U135">
        <v>0</v>
      </c>
      <c r="V135">
        <v>0</v>
      </c>
      <c r="W135">
        <v>1.83</v>
      </c>
      <c r="X135">
        <v>3.5</v>
      </c>
      <c r="Y135">
        <v>4.33</v>
      </c>
      <c r="Z135">
        <v>1.8</v>
      </c>
      <c r="AA135">
        <v>3.5</v>
      </c>
      <c r="AB135">
        <v>4.5</v>
      </c>
      <c r="AC135">
        <v>1.9</v>
      </c>
      <c r="AD135">
        <v>3.3</v>
      </c>
      <c r="AE135">
        <v>4</v>
      </c>
      <c r="AF135">
        <v>1.85</v>
      </c>
      <c r="AG135">
        <v>3.4</v>
      </c>
      <c r="AH135">
        <v>4.33</v>
      </c>
      <c r="AI135">
        <v>1.87</v>
      </c>
      <c r="AJ135">
        <v>3.6</v>
      </c>
      <c r="AK135">
        <v>4.83</v>
      </c>
      <c r="AL135">
        <v>1.83</v>
      </c>
      <c r="AM135">
        <v>3.2</v>
      </c>
      <c r="AN135">
        <v>5</v>
      </c>
      <c r="AO135">
        <v>1.8</v>
      </c>
      <c r="AP135">
        <v>3.4</v>
      </c>
      <c r="AQ135">
        <v>4.5</v>
      </c>
      <c r="AR135">
        <v>1.87</v>
      </c>
      <c r="AS135">
        <v>3.6</v>
      </c>
      <c r="AT135">
        <v>4.75</v>
      </c>
      <c r="AU135">
        <v>38</v>
      </c>
      <c r="AV135">
        <v>1.9</v>
      </c>
      <c r="AW135">
        <v>1.82</v>
      </c>
      <c r="AX135">
        <v>3.61</v>
      </c>
      <c r="AY135">
        <v>3.44</v>
      </c>
      <c r="AZ135">
        <v>5</v>
      </c>
      <c r="BA135">
        <v>4.5</v>
      </c>
      <c r="BB135">
        <v>36</v>
      </c>
      <c r="BC135">
        <v>2.1</v>
      </c>
      <c r="BD135">
        <v>2.0099999999999998</v>
      </c>
      <c r="BE135">
        <v>1.85</v>
      </c>
      <c r="BF135">
        <v>1.79</v>
      </c>
      <c r="BG135">
        <v>20</v>
      </c>
      <c r="BH135">
        <v>-0.75</v>
      </c>
      <c r="BI135">
        <v>2.14</v>
      </c>
      <c r="BJ135">
        <v>2.0699999999999998</v>
      </c>
      <c r="BK135">
        <v>1.86</v>
      </c>
      <c r="BL135">
        <v>1.81</v>
      </c>
      <c r="BM135">
        <v>1.81</v>
      </c>
      <c r="BN135">
        <v>3.7</v>
      </c>
      <c r="BO135">
        <v>5.03</v>
      </c>
    </row>
    <row r="136" spans="1:67">
      <c r="A136" t="s">
        <v>63</v>
      </c>
      <c r="B136" s="77">
        <v>41609</v>
      </c>
      <c r="C136" t="s">
        <v>86</v>
      </c>
      <c r="D136" t="s">
        <v>69</v>
      </c>
      <c r="E136">
        <v>1</v>
      </c>
      <c r="F136">
        <v>3</v>
      </c>
      <c r="G136" t="s">
        <v>66</v>
      </c>
      <c r="H136">
        <v>1</v>
      </c>
      <c r="I136">
        <v>1</v>
      </c>
      <c r="J136" t="s">
        <v>67</v>
      </c>
      <c r="K136">
        <v>12</v>
      </c>
      <c r="L136">
        <v>13</v>
      </c>
      <c r="M136">
        <v>3</v>
      </c>
      <c r="N136">
        <v>7</v>
      </c>
      <c r="O136">
        <v>18</v>
      </c>
      <c r="P136">
        <v>15</v>
      </c>
      <c r="Q136">
        <v>2</v>
      </c>
      <c r="R136">
        <v>5</v>
      </c>
      <c r="S136">
        <v>3</v>
      </c>
      <c r="T136">
        <v>3</v>
      </c>
      <c r="U136">
        <v>1</v>
      </c>
      <c r="V136">
        <v>0</v>
      </c>
      <c r="W136">
        <v>4.75</v>
      </c>
      <c r="X136">
        <v>3.6</v>
      </c>
      <c r="Y136">
        <v>1.75</v>
      </c>
      <c r="Z136">
        <v>4.75</v>
      </c>
      <c r="AA136">
        <v>3.5</v>
      </c>
      <c r="AB136">
        <v>1.75</v>
      </c>
      <c r="AC136">
        <v>3.8</v>
      </c>
      <c r="AD136">
        <v>3.45</v>
      </c>
      <c r="AE136">
        <v>1.9</v>
      </c>
      <c r="AF136">
        <v>4.5</v>
      </c>
      <c r="AG136">
        <v>3.4</v>
      </c>
      <c r="AH136">
        <v>1.83</v>
      </c>
      <c r="AI136">
        <v>5.24</v>
      </c>
      <c r="AJ136">
        <v>3.67</v>
      </c>
      <c r="AK136">
        <v>1.79</v>
      </c>
      <c r="AL136">
        <v>5</v>
      </c>
      <c r="AM136">
        <v>3.2</v>
      </c>
      <c r="AN136">
        <v>1.83</v>
      </c>
      <c r="AO136">
        <v>4.5</v>
      </c>
      <c r="AP136">
        <v>3.5</v>
      </c>
      <c r="AQ136">
        <v>1.73</v>
      </c>
      <c r="AR136">
        <v>5</v>
      </c>
      <c r="AS136">
        <v>3.6</v>
      </c>
      <c r="AT136">
        <v>1.8</v>
      </c>
      <c r="AU136">
        <v>38</v>
      </c>
      <c r="AV136">
        <v>5.2</v>
      </c>
      <c r="AW136">
        <v>4.67</v>
      </c>
      <c r="AX136">
        <v>3.67</v>
      </c>
      <c r="AY136">
        <v>3.5</v>
      </c>
      <c r="AZ136">
        <v>1.9</v>
      </c>
      <c r="BA136">
        <v>1.78</v>
      </c>
      <c r="BB136">
        <v>36</v>
      </c>
      <c r="BC136">
        <v>2.0499999999999998</v>
      </c>
      <c r="BD136">
        <v>1.98</v>
      </c>
      <c r="BE136">
        <v>1.88</v>
      </c>
      <c r="BF136">
        <v>1.81</v>
      </c>
      <c r="BG136">
        <v>21</v>
      </c>
      <c r="BH136">
        <v>1</v>
      </c>
      <c r="BI136">
        <v>1.63</v>
      </c>
      <c r="BJ136">
        <v>1.6</v>
      </c>
      <c r="BK136">
        <v>2.5</v>
      </c>
      <c r="BL136">
        <v>2.39</v>
      </c>
      <c r="BM136">
        <v>5.12</v>
      </c>
      <c r="BN136">
        <v>4.1399999999999997</v>
      </c>
      <c r="BO136">
        <v>1.71</v>
      </c>
    </row>
    <row r="137" spans="1:67">
      <c r="A137" t="s">
        <v>63</v>
      </c>
      <c r="B137" s="77">
        <v>41609</v>
      </c>
      <c r="C137" t="s">
        <v>82</v>
      </c>
      <c r="D137" t="s">
        <v>77</v>
      </c>
      <c r="E137">
        <v>3</v>
      </c>
      <c r="F137">
        <v>0</v>
      </c>
      <c r="G137" t="s">
        <v>70</v>
      </c>
      <c r="H137">
        <v>1</v>
      </c>
      <c r="I137">
        <v>0</v>
      </c>
      <c r="J137" t="s">
        <v>70</v>
      </c>
      <c r="K137">
        <v>19</v>
      </c>
      <c r="L137">
        <v>14</v>
      </c>
      <c r="M137">
        <v>6</v>
      </c>
      <c r="N137">
        <v>4</v>
      </c>
      <c r="O137">
        <v>21</v>
      </c>
      <c r="P137">
        <v>4</v>
      </c>
      <c r="Q137">
        <v>11</v>
      </c>
      <c r="R137">
        <v>6</v>
      </c>
      <c r="S137">
        <v>4</v>
      </c>
      <c r="T137">
        <v>2</v>
      </c>
      <c r="U137">
        <v>0</v>
      </c>
      <c r="V137">
        <v>0</v>
      </c>
      <c r="W137">
        <v>1.91</v>
      </c>
      <c r="X137">
        <v>3.4</v>
      </c>
      <c r="Y137">
        <v>4</v>
      </c>
      <c r="Z137">
        <v>1.95</v>
      </c>
      <c r="AA137">
        <v>3.3</v>
      </c>
      <c r="AB137">
        <v>4</v>
      </c>
      <c r="AC137">
        <v>1.95</v>
      </c>
      <c r="AD137">
        <v>3.3</v>
      </c>
      <c r="AE137">
        <v>3.75</v>
      </c>
      <c r="AF137">
        <v>2</v>
      </c>
      <c r="AG137">
        <v>3.2</v>
      </c>
      <c r="AH137">
        <v>4</v>
      </c>
      <c r="AI137">
        <v>2</v>
      </c>
      <c r="AJ137">
        <v>3.32</v>
      </c>
      <c r="AK137">
        <v>4.47</v>
      </c>
      <c r="AL137">
        <v>2</v>
      </c>
      <c r="AM137">
        <v>3.2</v>
      </c>
      <c r="AN137">
        <v>4</v>
      </c>
      <c r="AO137">
        <v>1.95</v>
      </c>
      <c r="AP137">
        <v>3.3</v>
      </c>
      <c r="AQ137">
        <v>3.8</v>
      </c>
      <c r="AR137">
        <v>2</v>
      </c>
      <c r="AS137">
        <v>3.4</v>
      </c>
      <c r="AT137">
        <v>4.33</v>
      </c>
      <c r="AU137">
        <v>37</v>
      </c>
      <c r="AV137">
        <v>2.02</v>
      </c>
      <c r="AW137">
        <v>1.97</v>
      </c>
      <c r="AX137">
        <v>3.43</v>
      </c>
      <c r="AY137">
        <v>3.3</v>
      </c>
      <c r="AZ137">
        <v>4.47</v>
      </c>
      <c r="BA137">
        <v>3.95</v>
      </c>
      <c r="BB137">
        <v>35</v>
      </c>
      <c r="BC137">
        <v>2.46</v>
      </c>
      <c r="BD137">
        <v>2.34</v>
      </c>
      <c r="BE137">
        <v>1.63</v>
      </c>
      <c r="BF137">
        <v>1.58</v>
      </c>
      <c r="BG137">
        <v>19</v>
      </c>
      <c r="BH137">
        <v>-0.5</v>
      </c>
      <c r="BI137">
        <v>2.0299999999999998</v>
      </c>
      <c r="BJ137">
        <v>1.98</v>
      </c>
      <c r="BK137">
        <v>1.94</v>
      </c>
      <c r="BL137">
        <v>1.9</v>
      </c>
      <c r="BM137">
        <v>2.2000000000000002</v>
      </c>
      <c r="BN137">
        <v>3.19</v>
      </c>
      <c r="BO137">
        <v>3.93</v>
      </c>
    </row>
    <row r="138" spans="1:67">
      <c r="A138" t="s">
        <v>63</v>
      </c>
      <c r="B138" s="77">
        <v>41609</v>
      </c>
      <c r="C138" t="s">
        <v>73</v>
      </c>
      <c r="D138" t="s">
        <v>64</v>
      </c>
      <c r="E138">
        <v>1</v>
      </c>
      <c r="F138">
        <v>1</v>
      </c>
      <c r="G138" t="s">
        <v>67</v>
      </c>
      <c r="H138">
        <v>1</v>
      </c>
      <c r="I138">
        <v>0</v>
      </c>
      <c r="J138" t="s">
        <v>70</v>
      </c>
      <c r="K138">
        <v>11</v>
      </c>
      <c r="L138">
        <v>14</v>
      </c>
      <c r="M138">
        <v>2</v>
      </c>
      <c r="N138">
        <v>5</v>
      </c>
      <c r="O138">
        <v>17</v>
      </c>
      <c r="P138">
        <v>17</v>
      </c>
      <c r="Q138">
        <v>4</v>
      </c>
      <c r="R138">
        <v>5</v>
      </c>
      <c r="S138">
        <v>3</v>
      </c>
      <c r="T138">
        <v>3</v>
      </c>
      <c r="U138">
        <v>0</v>
      </c>
      <c r="V138">
        <v>0</v>
      </c>
      <c r="W138">
        <v>1.4</v>
      </c>
      <c r="X138">
        <v>4.5</v>
      </c>
      <c r="Y138">
        <v>8</v>
      </c>
      <c r="Z138">
        <v>1.35</v>
      </c>
      <c r="AA138">
        <v>4.5999999999999996</v>
      </c>
      <c r="AB138">
        <v>9.5</v>
      </c>
      <c r="AC138">
        <v>1.37</v>
      </c>
      <c r="AD138">
        <v>4.5999999999999996</v>
      </c>
      <c r="AE138">
        <v>7.5</v>
      </c>
      <c r="AF138">
        <v>1.4</v>
      </c>
      <c r="AG138">
        <v>4.5</v>
      </c>
      <c r="AH138">
        <v>7.5</v>
      </c>
      <c r="AI138">
        <v>1.4</v>
      </c>
      <c r="AJ138">
        <v>4.9400000000000004</v>
      </c>
      <c r="AK138">
        <v>9.8699999999999992</v>
      </c>
      <c r="AL138">
        <v>1.4</v>
      </c>
      <c r="AM138">
        <v>4.2</v>
      </c>
      <c r="AN138">
        <v>9</v>
      </c>
      <c r="AO138">
        <v>1.36</v>
      </c>
      <c r="AP138">
        <v>4.5</v>
      </c>
      <c r="AQ138">
        <v>7.5</v>
      </c>
      <c r="AR138">
        <v>1.4</v>
      </c>
      <c r="AS138">
        <v>4.8</v>
      </c>
      <c r="AT138">
        <v>9</v>
      </c>
      <c r="AU138">
        <v>38</v>
      </c>
      <c r="AV138">
        <v>1.42</v>
      </c>
      <c r="AW138">
        <v>1.38</v>
      </c>
      <c r="AX138">
        <v>4.93</v>
      </c>
      <c r="AY138">
        <v>4.58</v>
      </c>
      <c r="AZ138">
        <v>9.93</v>
      </c>
      <c r="BA138">
        <v>8.2899999999999991</v>
      </c>
      <c r="BB138">
        <v>36</v>
      </c>
      <c r="BC138">
        <v>1.77</v>
      </c>
      <c r="BD138">
        <v>1.71</v>
      </c>
      <c r="BE138">
        <v>2.1800000000000002</v>
      </c>
      <c r="BF138">
        <v>2.1</v>
      </c>
      <c r="BG138">
        <v>22</v>
      </c>
      <c r="BH138">
        <v>-1.5</v>
      </c>
      <c r="BI138">
        <v>2.2200000000000002</v>
      </c>
      <c r="BJ138">
        <v>2.15</v>
      </c>
      <c r="BK138">
        <v>1.76</v>
      </c>
      <c r="BL138">
        <v>1.72</v>
      </c>
      <c r="BM138">
        <v>1.42</v>
      </c>
      <c r="BN138">
        <v>4.9400000000000004</v>
      </c>
      <c r="BO138">
        <v>8.74</v>
      </c>
    </row>
    <row r="139" spans="1:67">
      <c r="A139" t="s">
        <v>63</v>
      </c>
      <c r="B139" s="77">
        <v>41609</v>
      </c>
      <c r="C139" t="s">
        <v>65</v>
      </c>
      <c r="D139" t="s">
        <v>76</v>
      </c>
      <c r="E139">
        <v>1</v>
      </c>
      <c r="F139">
        <v>0</v>
      </c>
      <c r="G139" t="s">
        <v>70</v>
      </c>
      <c r="H139">
        <v>0</v>
      </c>
      <c r="I139">
        <v>0</v>
      </c>
      <c r="J139" t="s">
        <v>67</v>
      </c>
      <c r="K139">
        <v>27</v>
      </c>
      <c r="L139">
        <v>9</v>
      </c>
      <c r="M139">
        <v>5</v>
      </c>
      <c r="N139">
        <v>4</v>
      </c>
      <c r="O139">
        <v>10</v>
      </c>
      <c r="P139">
        <v>9</v>
      </c>
      <c r="Q139">
        <v>12</v>
      </c>
      <c r="R139">
        <v>4</v>
      </c>
      <c r="S139">
        <v>2</v>
      </c>
      <c r="T139">
        <v>1</v>
      </c>
      <c r="U139">
        <v>0</v>
      </c>
      <c r="V139">
        <v>0</v>
      </c>
      <c r="W139">
        <v>1.3</v>
      </c>
      <c r="X139">
        <v>5</v>
      </c>
      <c r="Y139">
        <v>10</v>
      </c>
      <c r="Z139">
        <v>1.28</v>
      </c>
      <c r="AA139">
        <v>5.25</v>
      </c>
      <c r="AB139">
        <v>11</v>
      </c>
      <c r="AC139">
        <v>1.27</v>
      </c>
      <c r="AD139">
        <v>5.2</v>
      </c>
      <c r="AE139">
        <v>10</v>
      </c>
      <c r="AF139">
        <v>1.33</v>
      </c>
      <c r="AG139">
        <v>5</v>
      </c>
      <c r="AH139">
        <v>8.5</v>
      </c>
      <c r="AI139">
        <v>1.3</v>
      </c>
      <c r="AJ139">
        <v>5.65</v>
      </c>
      <c r="AK139">
        <v>13</v>
      </c>
      <c r="AL139">
        <v>1.33</v>
      </c>
      <c r="AM139">
        <v>4.33</v>
      </c>
      <c r="AN139">
        <v>12</v>
      </c>
      <c r="AO139">
        <v>1.29</v>
      </c>
      <c r="AP139">
        <v>5</v>
      </c>
      <c r="AQ139">
        <v>9.5</v>
      </c>
      <c r="AR139">
        <v>1.3</v>
      </c>
      <c r="AS139">
        <v>5.5</v>
      </c>
      <c r="AT139">
        <v>12</v>
      </c>
      <c r="AU139">
        <v>38</v>
      </c>
      <c r="AV139">
        <v>1.33</v>
      </c>
      <c r="AW139">
        <v>1.3</v>
      </c>
      <c r="AX139">
        <v>5.65</v>
      </c>
      <c r="AY139">
        <v>5.16</v>
      </c>
      <c r="AZ139">
        <v>13</v>
      </c>
      <c r="BA139">
        <v>10.57</v>
      </c>
      <c r="BB139">
        <v>36</v>
      </c>
      <c r="BC139">
        <v>1.7</v>
      </c>
      <c r="BD139">
        <v>1.65</v>
      </c>
      <c r="BE139">
        <v>2.33</v>
      </c>
      <c r="BF139">
        <v>2.21</v>
      </c>
      <c r="BG139">
        <v>22</v>
      </c>
      <c r="BH139">
        <v>-1.5</v>
      </c>
      <c r="BI139">
        <v>1.92</v>
      </c>
      <c r="BJ139">
        <v>1.88</v>
      </c>
      <c r="BK139">
        <v>2.04</v>
      </c>
      <c r="BL139">
        <v>1.98</v>
      </c>
      <c r="BM139">
        <v>1.28</v>
      </c>
      <c r="BN139">
        <v>5.84</v>
      </c>
      <c r="BO139">
        <v>14.61</v>
      </c>
    </row>
    <row r="140" spans="1:67">
      <c r="A140" t="s">
        <v>63</v>
      </c>
      <c r="B140" s="77">
        <v>41610</v>
      </c>
      <c r="C140" t="s">
        <v>85</v>
      </c>
      <c r="D140" t="s">
        <v>68</v>
      </c>
      <c r="E140">
        <v>4</v>
      </c>
      <c r="F140">
        <v>3</v>
      </c>
      <c r="G140" t="s">
        <v>70</v>
      </c>
      <c r="H140">
        <v>3</v>
      </c>
      <c r="I140">
        <v>2</v>
      </c>
      <c r="J140" t="s">
        <v>70</v>
      </c>
      <c r="K140">
        <v>23</v>
      </c>
      <c r="L140">
        <v>11</v>
      </c>
      <c r="M140">
        <v>7</v>
      </c>
      <c r="N140">
        <v>7</v>
      </c>
      <c r="O140">
        <v>9</v>
      </c>
      <c r="P140">
        <v>13</v>
      </c>
      <c r="Q140">
        <v>5</v>
      </c>
      <c r="R140">
        <v>1</v>
      </c>
      <c r="S140">
        <v>2</v>
      </c>
      <c r="T140">
        <v>3</v>
      </c>
      <c r="U140">
        <v>0</v>
      </c>
      <c r="V140">
        <v>1</v>
      </c>
      <c r="W140">
        <v>1.44</v>
      </c>
      <c r="X140">
        <v>4.33</v>
      </c>
      <c r="Y140">
        <v>7</v>
      </c>
      <c r="Z140">
        <v>1.45</v>
      </c>
      <c r="AA140">
        <v>4</v>
      </c>
      <c r="AB140">
        <v>7.75</v>
      </c>
      <c r="AC140">
        <v>1.5</v>
      </c>
      <c r="AD140">
        <v>4</v>
      </c>
      <c r="AE140">
        <v>6.1</v>
      </c>
      <c r="AF140">
        <v>1.5</v>
      </c>
      <c r="AG140">
        <v>4.2</v>
      </c>
      <c r="AH140">
        <v>6.5</v>
      </c>
      <c r="AI140">
        <v>1.5</v>
      </c>
      <c r="AJ140">
        <v>4.3600000000000003</v>
      </c>
      <c r="AK140">
        <v>8.18</v>
      </c>
      <c r="AL140">
        <v>1.5</v>
      </c>
      <c r="AM140">
        <v>3.75</v>
      </c>
      <c r="AN140">
        <v>7.5</v>
      </c>
      <c r="AO140">
        <v>1.44</v>
      </c>
      <c r="AP140">
        <v>4</v>
      </c>
      <c r="AQ140">
        <v>6.5</v>
      </c>
      <c r="AR140">
        <v>1.5</v>
      </c>
      <c r="AS140">
        <v>4.33</v>
      </c>
      <c r="AT140">
        <v>7.5</v>
      </c>
      <c r="AU140">
        <v>35</v>
      </c>
      <c r="AV140">
        <v>1.5</v>
      </c>
      <c r="AW140">
        <v>1.47</v>
      </c>
      <c r="AX140">
        <v>4.3600000000000003</v>
      </c>
      <c r="AY140">
        <v>4.12</v>
      </c>
      <c r="AZ140">
        <v>8.18</v>
      </c>
      <c r="BA140">
        <v>7.04</v>
      </c>
      <c r="BB140">
        <v>32</v>
      </c>
      <c r="BC140">
        <v>1.73</v>
      </c>
      <c r="BD140">
        <v>1.64</v>
      </c>
      <c r="BE140">
        <v>2.33</v>
      </c>
      <c r="BF140">
        <v>2.21</v>
      </c>
      <c r="BG140">
        <v>19</v>
      </c>
      <c r="BH140">
        <v>-1</v>
      </c>
      <c r="BI140">
        <v>1.81</v>
      </c>
      <c r="BJ140">
        <v>1.76</v>
      </c>
      <c r="BK140">
        <v>2.19</v>
      </c>
      <c r="BL140">
        <v>2.1</v>
      </c>
      <c r="BM140">
        <v>1.54</v>
      </c>
      <c r="BN140">
        <v>4.37</v>
      </c>
      <c r="BO140">
        <v>7.11</v>
      </c>
    </row>
    <row r="141" spans="1:67">
      <c r="A141" t="s">
        <v>63</v>
      </c>
      <c r="B141" s="77">
        <v>41610</v>
      </c>
      <c r="C141" t="s">
        <v>75</v>
      </c>
      <c r="D141" t="s">
        <v>79</v>
      </c>
      <c r="E141">
        <v>2</v>
      </c>
      <c r="F141">
        <v>4</v>
      </c>
      <c r="G141" t="s">
        <v>66</v>
      </c>
      <c r="H141">
        <v>1</v>
      </c>
      <c r="I141">
        <v>1</v>
      </c>
      <c r="J141" t="s">
        <v>67</v>
      </c>
      <c r="K141">
        <v>12</v>
      </c>
      <c r="L141">
        <v>13</v>
      </c>
      <c r="M141">
        <v>4</v>
      </c>
      <c r="N141">
        <v>7</v>
      </c>
      <c r="O141">
        <v>21</v>
      </c>
      <c r="P141">
        <v>13</v>
      </c>
      <c r="Q141">
        <v>1</v>
      </c>
      <c r="R141">
        <v>3</v>
      </c>
      <c r="S141">
        <v>2</v>
      </c>
      <c r="T141">
        <v>2</v>
      </c>
      <c r="U141">
        <v>0</v>
      </c>
      <c r="V141">
        <v>0</v>
      </c>
      <c r="W141">
        <v>3.1</v>
      </c>
      <c r="X141">
        <v>3.3</v>
      </c>
      <c r="Y141">
        <v>2.2999999999999998</v>
      </c>
      <c r="Z141">
        <v>3</v>
      </c>
      <c r="AA141">
        <v>3.3</v>
      </c>
      <c r="AB141">
        <v>2.35</v>
      </c>
      <c r="AC141">
        <v>2.75</v>
      </c>
      <c r="AD141">
        <v>3.3</v>
      </c>
      <c r="AE141">
        <v>2.4</v>
      </c>
      <c r="AF141">
        <v>2.9</v>
      </c>
      <c r="AG141">
        <v>3.3</v>
      </c>
      <c r="AH141">
        <v>2.37</v>
      </c>
      <c r="AI141">
        <v>3.07</v>
      </c>
      <c r="AJ141">
        <v>3.27</v>
      </c>
      <c r="AK141">
        <v>2.58</v>
      </c>
      <c r="AL141">
        <v>3.1</v>
      </c>
      <c r="AM141">
        <v>3.1</v>
      </c>
      <c r="AN141">
        <v>2.4</v>
      </c>
      <c r="AO141">
        <v>3</v>
      </c>
      <c r="AP141">
        <v>3.25</v>
      </c>
      <c r="AQ141">
        <v>2.2999999999999998</v>
      </c>
      <c r="AR141">
        <v>3</v>
      </c>
      <c r="AS141">
        <v>3.3</v>
      </c>
      <c r="AT141">
        <v>2.5499999999999998</v>
      </c>
      <c r="AU141">
        <v>36</v>
      </c>
      <c r="AV141">
        <v>3.2</v>
      </c>
      <c r="AW141">
        <v>2.95</v>
      </c>
      <c r="AX141">
        <v>3.36</v>
      </c>
      <c r="AY141">
        <v>3.22</v>
      </c>
      <c r="AZ141">
        <v>3.1</v>
      </c>
      <c r="BA141">
        <v>2.42</v>
      </c>
      <c r="BB141">
        <v>34</v>
      </c>
      <c r="BC141">
        <v>2.0299999999999998</v>
      </c>
      <c r="BD141">
        <v>1.96</v>
      </c>
      <c r="BE141">
        <v>1.89</v>
      </c>
      <c r="BF141">
        <v>1.82</v>
      </c>
      <c r="BG141">
        <v>18</v>
      </c>
      <c r="BH141">
        <v>0.25</v>
      </c>
      <c r="BI141">
        <v>1.85</v>
      </c>
      <c r="BJ141">
        <v>1.79</v>
      </c>
      <c r="BK141">
        <v>2.21</v>
      </c>
      <c r="BL141">
        <v>2.09</v>
      </c>
      <c r="BM141">
        <v>2.54</v>
      </c>
      <c r="BN141">
        <v>3.4</v>
      </c>
      <c r="BO141">
        <v>3.01</v>
      </c>
    </row>
    <row r="142" spans="1:67">
      <c r="A142" t="s">
        <v>63</v>
      </c>
      <c r="B142" s="77">
        <v>41614</v>
      </c>
      <c r="C142" t="s">
        <v>80</v>
      </c>
      <c r="D142" t="s">
        <v>65</v>
      </c>
      <c r="E142">
        <v>0</v>
      </c>
      <c r="F142">
        <v>2</v>
      </c>
      <c r="G142" t="s">
        <v>66</v>
      </c>
      <c r="H142">
        <v>0</v>
      </c>
      <c r="I142">
        <v>1</v>
      </c>
      <c r="J142" t="s">
        <v>66</v>
      </c>
      <c r="K142">
        <v>10</v>
      </c>
      <c r="L142">
        <v>19</v>
      </c>
      <c r="M142">
        <v>4</v>
      </c>
      <c r="N142">
        <v>6</v>
      </c>
      <c r="O142">
        <v>16</v>
      </c>
      <c r="P142">
        <v>16</v>
      </c>
      <c r="Q142">
        <v>7</v>
      </c>
      <c r="R142">
        <v>6</v>
      </c>
      <c r="S142">
        <v>1</v>
      </c>
      <c r="T142">
        <v>4</v>
      </c>
      <c r="U142">
        <v>0</v>
      </c>
      <c r="V142">
        <v>0</v>
      </c>
      <c r="W142">
        <v>8.5</v>
      </c>
      <c r="X142">
        <v>4.33</v>
      </c>
      <c r="Y142">
        <v>1.4</v>
      </c>
      <c r="Z142">
        <v>7.75</v>
      </c>
      <c r="AA142">
        <v>4.25</v>
      </c>
      <c r="AB142">
        <v>1.42</v>
      </c>
      <c r="AC142">
        <v>7</v>
      </c>
      <c r="AD142">
        <v>4</v>
      </c>
      <c r="AE142">
        <v>1.45</v>
      </c>
      <c r="AF142">
        <v>7</v>
      </c>
      <c r="AG142">
        <v>4.33</v>
      </c>
      <c r="AH142">
        <v>1.44</v>
      </c>
      <c r="AI142">
        <v>8.64</v>
      </c>
      <c r="AJ142">
        <v>4.47</v>
      </c>
      <c r="AK142">
        <v>1.47</v>
      </c>
      <c r="AL142">
        <v>8</v>
      </c>
      <c r="AM142">
        <v>4</v>
      </c>
      <c r="AN142">
        <v>1.44</v>
      </c>
      <c r="AO142">
        <v>7</v>
      </c>
      <c r="AP142">
        <v>4</v>
      </c>
      <c r="AQ142">
        <v>1.44</v>
      </c>
      <c r="AR142">
        <v>8.5</v>
      </c>
      <c r="AS142">
        <v>4.5999999999999996</v>
      </c>
      <c r="AT142">
        <v>1.45</v>
      </c>
      <c r="AU142">
        <v>39</v>
      </c>
      <c r="AV142">
        <v>9.5</v>
      </c>
      <c r="AW142">
        <v>8.11</v>
      </c>
      <c r="AX142">
        <v>4.63</v>
      </c>
      <c r="AY142">
        <v>4.2699999999999996</v>
      </c>
      <c r="AZ142">
        <v>1.47</v>
      </c>
      <c r="BA142">
        <v>1.43</v>
      </c>
      <c r="BB142">
        <v>38</v>
      </c>
      <c r="BC142">
        <v>2.0299999999999998</v>
      </c>
      <c r="BD142">
        <v>1.92</v>
      </c>
      <c r="BE142">
        <v>1.95</v>
      </c>
      <c r="BF142">
        <v>1.87</v>
      </c>
      <c r="BG142">
        <v>24</v>
      </c>
      <c r="BH142">
        <v>1</v>
      </c>
      <c r="BI142">
        <v>2.2999999999999998</v>
      </c>
      <c r="BJ142">
        <v>2.13</v>
      </c>
      <c r="BK142">
        <v>1.81</v>
      </c>
      <c r="BL142">
        <v>1.74</v>
      </c>
      <c r="BM142">
        <v>7.44</v>
      </c>
      <c r="BN142">
        <v>4.43</v>
      </c>
      <c r="BO142">
        <v>1.52</v>
      </c>
    </row>
    <row r="143" spans="1:67">
      <c r="A143" t="s">
        <v>63</v>
      </c>
      <c r="B143" s="77">
        <v>41615</v>
      </c>
      <c r="C143" t="s">
        <v>77</v>
      </c>
      <c r="D143" t="s">
        <v>69</v>
      </c>
      <c r="E143">
        <v>2</v>
      </c>
      <c r="F143">
        <v>2</v>
      </c>
      <c r="G143" t="s">
        <v>67</v>
      </c>
      <c r="H143">
        <v>1</v>
      </c>
      <c r="I143">
        <v>1</v>
      </c>
      <c r="J143" t="s">
        <v>67</v>
      </c>
      <c r="K143">
        <v>17</v>
      </c>
      <c r="L143">
        <v>11</v>
      </c>
      <c r="M143">
        <v>7</v>
      </c>
      <c r="N143">
        <v>5</v>
      </c>
      <c r="O143">
        <v>15</v>
      </c>
      <c r="P143">
        <v>11</v>
      </c>
      <c r="Q143">
        <v>7</v>
      </c>
      <c r="R143">
        <v>2</v>
      </c>
      <c r="S143">
        <v>5</v>
      </c>
      <c r="T143">
        <v>2</v>
      </c>
      <c r="U143">
        <v>0</v>
      </c>
      <c r="V143">
        <v>0</v>
      </c>
      <c r="W143">
        <v>5.5</v>
      </c>
      <c r="X143">
        <v>3.75</v>
      </c>
      <c r="Y143">
        <v>1.62</v>
      </c>
      <c r="Z143">
        <v>5.5</v>
      </c>
      <c r="AA143">
        <v>3.8</v>
      </c>
      <c r="AB143">
        <v>1.62</v>
      </c>
      <c r="AC143">
        <v>4.7</v>
      </c>
      <c r="AD143">
        <v>3.6</v>
      </c>
      <c r="AE143">
        <v>1.7</v>
      </c>
      <c r="AF143">
        <v>5</v>
      </c>
      <c r="AG143">
        <v>3.75</v>
      </c>
      <c r="AH143">
        <v>1.66</v>
      </c>
      <c r="AI143">
        <v>6</v>
      </c>
      <c r="AJ143">
        <v>3.8</v>
      </c>
      <c r="AK143">
        <v>1.69</v>
      </c>
      <c r="AL143">
        <v>6</v>
      </c>
      <c r="AM143">
        <v>3.4</v>
      </c>
      <c r="AN143">
        <v>1.67</v>
      </c>
      <c r="AO143">
        <v>5.25</v>
      </c>
      <c r="AP143">
        <v>3.6</v>
      </c>
      <c r="AQ143">
        <v>1.62</v>
      </c>
      <c r="AR143">
        <v>5.75</v>
      </c>
      <c r="AS143">
        <v>3.8</v>
      </c>
      <c r="AT143">
        <v>1.7</v>
      </c>
      <c r="AU143">
        <v>39</v>
      </c>
      <c r="AV143">
        <v>6.01</v>
      </c>
      <c r="AW143">
        <v>5.46</v>
      </c>
      <c r="AX143">
        <v>3.9</v>
      </c>
      <c r="AY143">
        <v>3.69</v>
      </c>
      <c r="AZ143">
        <v>1.71</v>
      </c>
      <c r="BA143">
        <v>1.65</v>
      </c>
      <c r="BB143">
        <v>38</v>
      </c>
      <c r="BC143">
        <v>2.0299999999999998</v>
      </c>
      <c r="BD143">
        <v>1.96</v>
      </c>
      <c r="BE143">
        <v>1.94</v>
      </c>
      <c r="BF143">
        <v>1.83</v>
      </c>
      <c r="BG143">
        <v>24</v>
      </c>
      <c r="BH143">
        <v>1</v>
      </c>
      <c r="BI143">
        <v>1.8</v>
      </c>
      <c r="BJ143">
        <v>1.73</v>
      </c>
      <c r="BK143">
        <v>2.25</v>
      </c>
      <c r="BL143">
        <v>2.14</v>
      </c>
      <c r="BM143">
        <v>6.2</v>
      </c>
      <c r="BN143">
        <v>4.1500000000000004</v>
      </c>
      <c r="BO143">
        <v>1.63</v>
      </c>
    </row>
    <row r="144" spans="1:67">
      <c r="A144" t="s">
        <v>63</v>
      </c>
      <c r="B144" s="77">
        <v>41615</v>
      </c>
      <c r="C144" t="s">
        <v>79</v>
      </c>
      <c r="D144" t="s">
        <v>76</v>
      </c>
      <c r="E144">
        <v>3</v>
      </c>
      <c r="F144">
        <v>3</v>
      </c>
      <c r="G144" t="s">
        <v>67</v>
      </c>
      <c r="H144">
        <v>2</v>
      </c>
      <c r="I144">
        <v>1</v>
      </c>
      <c r="J144" t="s">
        <v>70</v>
      </c>
      <c r="K144">
        <v>12</v>
      </c>
      <c r="L144">
        <v>17</v>
      </c>
      <c r="M144">
        <v>6</v>
      </c>
      <c r="N144">
        <v>7</v>
      </c>
      <c r="O144">
        <v>13</v>
      </c>
      <c r="P144">
        <v>13</v>
      </c>
      <c r="Q144">
        <v>10</v>
      </c>
      <c r="R144">
        <v>8</v>
      </c>
      <c r="S144">
        <v>4</v>
      </c>
      <c r="T144">
        <v>2</v>
      </c>
      <c r="U144">
        <v>0</v>
      </c>
      <c r="V144">
        <v>0</v>
      </c>
      <c r="W144">
        <v>1.57</v>
      </c>
      <c r="X144">
        <v>3.75</v>
      </c>
      <c r="Y144">
        <v>6</v>
      </c>
      <c r="Z144">
        <v>1.53</v>
      </c>
      <c r="AA144">
        <v>3.9</v>
      </c>
      <c r="AB144">
        <v>6.5</v>
      </c>
      <c r="AC144">
        <v>1.55</v>
      </c>
      <c r="AD144">
        <v>3.9</v>
      </c>
      <c r="AE144">
        <v>5.6</v>
      </c>
      <c r="AF144">
        <v>1.53</v>
      </c>
      <c r="AG144">
        <v>4</v>
      </c>
      <c r="AH144">
        <v>6.5</v>
      </c>
      <c r="AI144">
        <v>1.56</v>
      </c>
      <c r="AJ144">
        <v>3.96</v>
      </c>
      <c r="AK144">
        <v>7.97</v>
      </c>
      <c r="AL144">
        <v>1.57</v>
      </c>
      <c r="AM144">
        <v>3.5</v>
      </c>
      <c r="AN144">
        <v>7</v>
      </c>
      <c r="AO144">
        <v>1.53</v>
      </c>
      <c r="AP144">
        <v>3.8</v>
      </c>
      <c r="AQ144">
        <v>5.75</v>
      </c>
      <c r="AR144">
        <v>1.6</v>
      </c>
      <c r="AS144">
        <v>3.9</v>
      </c>
      <c r="AT144">
        <v>6.5</v>
      </c>
      <c r="AU144">
        <v>39</v>
      </c>
      <c r="AV144">
        <v>1.6</v>
      </c>
      <c r="AW144">
        <v>1.54</v>
      </c>
      <c r="AX144">
        <v>4.2</v>
      </c>
      <c r="AY144">
        <v>3.88</v>
      </c>
      <c r="AZ144">
        <v>7.8</v>
      </c>
      <c r="BA144">
        <v>6.48</v>
      </c>
      <c r="BB144">
        <v>38</v>
      </c>
      <c r="BC144">
        <v>1.89</v>
      </c>
      <c r="BD144">
        <v>1.82</v>
      </c>
      <c r="BE144">
        <v>2.06</v>
      </c>
      <c r="BF144">
        <v>1.96</v>
      </c>
      <c r="BG144">
        <v>24</v>
      </c>
      <c r="BH144">
        <v>-1</v>
      </c>
      <c r="BI144">
        <v>2.02</v>
      </c>
      <c r="BJ144">
        <v>1.96</v>
      </c>
      <c r="BK144">
        <v>1.95</v>
      </c>
      <c r="BL144">
        <v>1.89</v>
      </c>
      <c r="BM144">
        <v>1.61</v>
      </c>
      <c r="BN144">
        <v>4.07</v>
      </c>
      <c r="BO144">
        <v>6.41</v>
      </c>
    </row>
    <row r="145" spans="1:67">
      <c r="A145" t="s">
        <v>63</v>
      </c>
      <c r="B145" s="77">
        <v>41616</v>
      </c>
      <c r="C145" t="s">
        <v>71</v>
      </c>
      <c r="D145" t="s">
        <v>74</v>
      </c>
      <c r="E145">
        <v>2</v>
      </c>
      <c r="F145">
        <v>1</v>
      </c>
      <c r="G145" t="s">
        <v>70</v>
      </c>
      <c r="H145">
        <v>0</v>
      </c>
      <c r="I145">
        <v>1</v>
      </c>
      <c r="J145" t="s">
        <v>66</v>
      </c>
      <c r="K145">
        <v>30</v>
      </c>
      <c r="L145">
        <v>4</v>
      </c>
      <c r="M145">
        <v>7</v>
      </c>
      <c r="N145">
        <v>3</v>
      </c>
      <c r="O145">
        <v>15</v>
      </c>
      <c r="P145">
        <v>11</v>
      </c>
      <c r="Q145">
        <v>8</v>
      </c>
      <c r="R145">
        <v>3</v>
      </c>
      <c r="S145">
        <v>5</v>
      </c>
      <c r="T145">
        <v>1</v>
      </c>
      <c r="U145">
        <v>0</v>
      </c>
      <c r="V145">
        <v>1</v>
      </c>
      <c r="W145">
        <v>1.95</v>
      </c>
      <c r="X145">
        <v>3.3</v>
      </c>
      <c r="Y145">
        <v>4</v>
      </c>
      <c r="Z145">
        <v>1.9</v>
      </c>
      <c r="AA145">
        <v>3.25</v>
      </c>
      <c r="AB145">
        <v>4.25</v>
      </c>
      <c r="AC145">
        <v>1.9</v>
      </c>
      <c r="AD145">
        <v>3.3</v>
      </c>
      <c r="AE145">
        <v>4</v>
      </c>
      <c r="AF145">
        <v>1.95</v>
      </c>
      <c r="AG145">
        <v>3.4</v>
      </c>
      <c r="AH145">
        <v>3.6</v>
      </c>
      <c r="AI145">
        <v>1.88</v>
      </c>
      <c r="AJ145">
        <v>3.45</v>
      </c>
      <c r="AK145">
        <v>5</v>
      </c>
      <c r="AL145">
        <v>1.95</v>
      </c>
      <c r="AM145">
        <v>3.3</v>
      </c>
      <c r="AN145">
        <v>4</v>
      </c>
      <c r="AO145">
        <v>1.9</v>
      </c>
      <c r="AP145">
        <v>3.3</v>
      </c>
      <c r="AQ145">
        <v>4</v>
      </c>
      <c r="AR145">
        <v>1.92</v>
      </c>
      <c r="AS145">
        <v>3.4</v>
      </c>
      <c r="AT145">
        <v>4.75</v>
      </c>
      <c r="AU145">
        <v>39</v>
      </c>
      <c r="AV145">
        <v>1.98</v>
      </c>
      <c r="AW145">
        <v>1.89</v>
      </c>
      <c r="AX145">
        <v>3.5</v>
      </c>
      <c r="AY145">
        <v>3.36</v>
      </c>
      <c r="AZ145">
        <v>4.9800000000000004</v>
      </c>
      <c r="BA145">
        <v>4.25</v>
      </c>
      <c r="BB145">
        <v>38</v>
      </c>
      <c r="BC145">
        <v>2.39</v>
      </c>
      <c r="BD145">
        <v>2.2799999999999998</v>
      </c>
      <c r="BE145">
        <v>1.67</v>
      </c>
      <c r="BF145">
        <v>1.61</v>
      </c>
      <c r="BG145">
        <v>22</v>
      </c>
      <c r="BH145">
        <v>-0.25</v>
      </c>
      <c r="BI145">
        <v>1.68</v>
      </c>
      <c r="BJ145">
        <v>1.63</v>
      </c>
      <c r="BK145">
        <v>2.4500000000000002</v>
      </c>
      <c r="BL145">
        <v>2.31</v>
      </c>
      <c r="BM145">
        <v>1.92</v>
      </c>
      <c r="BN145">
        <v>3.48</v>
      </c>
      <c r="BO145">
        <v>4.75</v>
      </c>
    </row>
    <row r="146" spans="1:67">
      <c r="A146" t="s">
        <v>63</v>
      </c>
      <c r="B146" s="77">
        <v>41616</v>
      </c>
      <c r="C146" t="s">
        <v>73</v>
      </c>
      <c r="D146" t="s">
        <v>81</v>
      </c>
      <c r="E146">
        <v>3</v>
      </c>
      <c r="F146">
        <v>3</v>
      </c>
      <c r="G146" t="s">
        <v>67</v>
      </c>
      <c r="H146">
        <v>1</v>
      </c>
      <c r="I146">
        <v>2</v>
      </c>
      <c r="J146" t="s">
        <v>66</v>
      </c>
      <c r="K146">
        <v>15</v>
      </c>
      <c r="L146">
        <v>17</v>
      </c>
      <c r="M146">
        <v>6</v>
      </c>
      <c r="N146">
        <v>8</v>
      </c>
      <c r="O146">
        <v>14</v>
      </c>
      <c r="P146">
        <v>13</v>
      </c>
      <c r="Q146">
        <v>3</v>
      </c>
      <c r="R146">
        <v>11</v>
      </c>
      <c r="S146">
        <v>2</v>
      </c>
      <c r="T146">
        <v>1</v>
      </c>
      <c r="U146">
        <v>0</v>
      </c>
      <c r="V146">
        <v>0</v>
      </c>
      <c r="W146">
        <v>1.65</v>
      </c>
      <c r="X146">
        <v>3.75</v>
      </c>
      <c r="Y146">
        <v>5.5</v>
      </c>
      <c r="Z146">
        <v>1.6</v>
      </c>
      <c r="AA146">
        <v>3.8</v>
      </c>
      <c r="AB146">
        <v>5.5</v>
      </c>
      <c r="AC146">
        <v>1.6</v>
      </c>
      <c r="AD146">
        <v>3.7</v>
      </c>
      <c r="AE146">
        <v>5.4</v>
      </c>
      <c r="AF146">
        <v>1.66</v>
      </c>
      <c r="AG146">
        <v>3.75</v>
      </c>
      <c r="AH146">
        <v>5</v>
      </c>
      <c r="AI146">
        <v>1.68</v>
      </c>
      <c r="AJ146">
        <v>3.93</v>
      </c>
      <c r="AK146">
        <v>5.8</v>
      </c>
      <c r="AL146">
        <v>1.73</v>
      </c>
      <c r="AM146">
        <v>3.5</v>
      </c>
      <c r="AN146">
        <v>5</v>
      </c>
      <c r="AO146">
        <v>1.67</v>
      </c>
      <c r="AP146">
        <v>3.75</v>
      </c>
      <c r="AQ146">
        <v>5</v>
      </c>
      <c r="AR146">
        <v>1.73</v>
      </c>
      <c r="AS146">
        <v>3.9</v>
      </c>
      <c r="AT146">
        <v>5.25</v>
      </c>
      <c r="AU146">
        <v>39</v>
      </c>
      <c r="AV146">
        <v>1.73</v>
      </c>
      <c r="AW146">
        <v>1.67</v>
      </c>
      <c r="AX146">
        <v>3.93</v>
      </c>
      <c r="AY146">
        <v>3.74</v>
      </c>
      <c r="AZ146">
        <v>5.8</v>
      </c>
      <c r="BA146">
        <v>5.16</v>
      </c>
      <c r="BB146">
        <v>38</v>
      </c>
      <c r="BC146">
        <v>1.82</v>
      </c>
      <c r="BD146">
        <v>1.76</v>
      </c>
      <c r="BE146">
        <v>2.15</v>
      </c>
      <c r="BF146">
        <v>2.04</v>
      </c>
      <c r="BG146">
        <v>24</v>
      </c>
      <c r="BH146">
        <v>-1</v>
      </c>
      <c r="BI146">
        <v>2.27</v>
      </c>
      <c r="BJ146">
        <v>2.1800000000000002</v>
      </c>
      <c r="BK146">
        <v>1.77</v>
      </c>
      <c r="BL146">
        <v>1.71</v>
      </c>
      <c r="BM146">
        <v>1.78</v>
      </c>
      <c r="BN146">
        <v>3.63</v>
      </c>
      <c r="BO146">
        <v>5.54</v>
      </c>
    </row>
    <row r="147" spans="1:67">
      <c r="A147" t="s">
        <v>63</v>
      </c>
      <c r="B147" s="77">
        <v>41616</v>
      </c>
      <c r="C147" t="s">
        <v>78</v>
      </c>
      <c r="D147" t="s">
        <v>85</v>
      </c>
      <c r="E147">
        <v>2</v>
      </c>
      <c r="F147">
        <v>1</v>
      </c>
      <c r="G147" t="s">
        <v>70</v>
      </c>
      <c r="H147">
        <v>1</v>
      </c>
      <c r="I147">
        <v>1</v>
      </c>
      <c r="J147" t="s">
        <v>67</v>
      </c>
      <c r="K147">
        <v>21</v>
      </c>
      <c r="L147">
        <v>15</v>
      </c>
      <c r="M147">
        <v>9</v>
      </c>
      <c r="N147">
        <v>5</v>
      </c>
      <c r="O147">
        <v>11</v>
      </c>
      <c r="P147">
        <v>13</v>
      </c>
      <c r="Q147">
        <v>8</v>
      </c>
      <c r="R147">
        <v>6</v>
      </c>
      <c r="S147">
        <v>3</v>
      </c>
      <c r="T147">
        <v>4</v>
      </c>
      <c r="U147">
        <v>1</v>
      </c>
      <c r="V147">
        <v>0</v>
      </c>
      <c r="W147">
        <v>1.91</v>
      </c>
      <c r="X147">
        <v>3.4</v>
      </c>
      <c r="Y147">
        <v>4</v>
      </c>
      <c r="Z147">
        <v>1.91</v>
      </c>
      <c r="AA147">
        <v>3.4</v>
      </c>
      <c r="AB147">
        <v>4</v>
      </c>
      <c r="AC147">
        <v>1.9</v>
      </c>
      <c r="AD147">
        <v>3.45</v>
      </c>
      <c r="AE147">
        <v>3.8</v>
      </c>
      <c r="AF147">
        <v>1.9</v>
      </c>
      <c r="AG147">
        <v>3.4</v>
      </c>
      <c r="AH147">
        <v>4.2</v>
      </c>
      <c r="AI147">
        <v>1.93</v>
      </c>
      <c r="AJ147">
        <v>3.45</v>
      </c>
      <c r="AK147">
        <v>4.71</v>
      </c>
      <c r="AL147">
        <v>1.95</v>
      </c>
      <c r="AM147">
        <v>3.3</v>
      </c>
      <c r="AN147">
        <v>4</v>
      </c>
      <c r="AO147">
        <v>1.9</v>
      </c>
      <c r="AP147">
        <v>3.4</v>
      </c>
      <c r="AQ147">
        <v>4</v>
      </c>
      <c r="AR147">
        <v>1.92</v>
      </c>
      <c r="AS147">
        <v>3.4</v>
      </c>
      <c r="AT147">
        <v>4.3</v>
      </c>
      <c r="AU147">
        <v>39</v>
      </c>
      <c r="AV147">
        <v>1.99</v>
      </c>
      <c r="AW147">
        <v>1.91</v>
      </c>
      <c r="AX147">
        <v>3.58</v>
      </c>
      <c r="AY147">
        <v>3.43</v>
      </c>
      <c r="AZ147">
        <v>4.58</v>
      </c>
      <c r="BA147">
        <v>4.09</v>
      </c>
      <c r="BB147">
        <v>38</v>
      </c>
      <c r="BC147">
        <v>1.91</v>
      </c>
      <c r="BD147">
        <v>1.83</v>
      </c>
      <c r="BE147">
        <v>2.0499999999999998</v>
      </c>
      <c r="BF147">
        <v>1.96</v>
      </c>
      <c r="BG147">
        <v>22</v>
      </c>
      <c r="BH147">
        <v>-0.5</v>
      </c>
      <c r="BI147">
        <v>1.92</v>
      </c>
      <c r="BJ147">
        <v>1.89</v>
      </c>
      <c r="BK147">
        <v>2.02</v>
      </c>
      <c r="BL147">
        <v>1.97</v>
      </c>
      <c r="BM147">
        <v>1.88</v>
      </c>
      <c r="BN147">
        <v>3.74</v>
      </c>
      <c r="BO147">
        <v>4.59</v>
      </c>
    </row>
    <row r="148" spans="1:67">
      <c r="A148" t="s">
        <v>63</v>
      </c>
      <c r="B148" s="77">
        <v>41616</v>
      </c>
      <c r="C148" t="s">
        <v>64</v>
      </c>
      <c r="D148" t="s">
        <v>86</v>
      </c>
      <c r="E148">
        <v>2</v>
      </c>
      <c r="F148">
        <v>0</v>
      </c>
      <c r="G148" t="s">
        <v>70</v>
      </c>
      <c r="H148">
        <v>0</v>
      </c>
      <c r="I148">
        <v>0</v>
      </c>
      <c r="J148" t="s">
        <v>67</v>
      </c>
      <c r="K148">
        <v>17</v>
      </c>
      <c r="L148">
        <v>5</v>
      </c>
      <c r="M148">
        <v>7</v>
      </c>
      <c r="N148">
        <v>0</v>
      </c>
      <c r="O148">
        <v>17</v>
      </c>
      <c r="P148">
        <v>13</v>
      </c>
      <c r="Q148">
        <v>7</v>
      </c>
      <c r="R148">
        <v>3</v>
      </c>
      <c r="S148">
        <v>3</v>
      </c>
      <c r="T148">
        <v>2</v>
      </c>
      <c r="U148">
        <v>0</v>
      </c>
      <c r="V148">
        <v>0</v>
      </c>
      <c r="W148">
        <v>1.73</v>
      </c>
      <c r="X148">
        <v>3.6</v>
      </c>
      <c r="Y148">
        <v>4.75</v>
      </c>
      <c r="Z148">
        <v>1.75</v>
      </c>
      <c r="AA148">
        <v>3.3</v>
      </c>
      <c r="AB148">
        <v>5.25</v>
      </c>
      <c r="AC148">
        <v>1.75</v>
      </c>
      <c r="AD148">
        <v>3.5</v>
      </c>
      <c r="AE148">
        <v>4.5</v>
      </c>
      <c r="AF148">
        <v>1.8</v>
      </c>
      <c r="AG148">
        <v>3.5</v>
      </c>
      <c r="AH148">
        <v>4.5</v>
      </c>
      <c r="AI148">
        <v>1.75</v>
      </c>
      <c r="AJ148">
        <v>3.63</v>
      </c>
      <c r="AK148">
        <v>5.74</v>
      </c>
      <c r="AL148">
        <v>1.75</v>
      </c>
      <c r="AM148">
        <v>3.2</v>
      </c>
      <c r="AN148">
        <v>5.5</v>
      </c>
      <c r="AO148">
        <v>1.73</v>
      </c>
      <c r="AP148">
        <v>3.4</v>
      </c>
      <c r="AQ148">
        <v>4.8</v>
      </c>
      <c r="AR148">
        <v>1.75</v>
      </c>
      <c r="AS148">
        <v>3.6</v>
      </c>
      <c r="AT148">
        <v>5.75</v>
      </c>
      <c r="AU148">
        <v>39</v>
      </c>
      <c r="AV148">
        <v>1.81</v>
      </c>
      <c r="AW148">
        <v>1.74</v>
      </c>
      <c r="AX148">
        <v>3.63</v>
      </c>
      <c r="AY148">
        <v>3.46</v>
      </c>
      <c r="AZ148">
        <v>5.75</v>
      </c>
      <c r="BA148">
        <v>5.05</v>
      </c>
      <c r="BB148">
        <v>35</v>
      </c>
      <c r="BC148">
        <v>2.39</v>
      </c>
      <c r="BD148">
        <v>2.2599999999999998</v>
      </c>
      <c r="BE148">
        <v>1.69</v>
      </c>
      <c r="BF148">
        <v>1.61</v>
      </c>
      <c r="BG148">
        <v>22</v>
      </c>
      <c r="BH148">
        <v>-0.75</v>
      </c>
      <c r="BI148">
        <v>2.11</v>
      </c>
      <c r="BJ148">
        <v>1.97</v>
      </c>
      <c r="BK148">
        <v>1.96</v>
      </c>
      <c r="BL148">
        <v>1.89</v>
      </c>
      <c r="BM148">
        <v>1.68</v>
      </c>
      <c r="BN148">
        <v>3.57</v>
      </c>
      <c r="BO148">
        <v>6.75</v>
      </c>
    </row>
    <row r="149" spans="1:67">
      <c r="A149" t="s">
        <v>63</v>
      </c>
      <c r="B149" s="77">
        <v>41616</v>
      </c>
      <c r="C149" t="s">
        <v>84</v>
      </c>
      <c r="D149" t="s">
        <v>82</v>
      </c>
      <c r="E149">
        <v>0</v>
      </c>
      <c r="F149">
        <v>1</v>
      </c>
      <c r="G149" t="s">
        <v>66</v>
      </c>
      <c r="H149">
        <v>0</v>
      </c>
      <c r="I149">
        <v>0</v>
      </c>
      <c r="J149" t="s">
        <v>67</v>
      </c>
      <c r="K149">
        <v>6</v>
      </c>
      <c r="L149">
        <v>9</v>
      </c>
      <c r="M149">
        <v>2</v>
      </c>
      <c r="N149">
        <v>5</v>
      </c>
      <c r="O149">
        <v>19</v>
      </c>
      <c r="P149">
        <v>26</v>
      </c>
      <c r="Q149">
        <v>4</v>
      </c>
      <c r="R149">
        <v>4</v>
      </c>
      <c r="S149">
        <v>2</v>
      </c>
      <c r="T149">
        <v>2</v>
      </c>
      <c r="U149">
        <v>0</v>
      </c>
      <c r="V149">
        <v>0</v>
      </c>
      <c r="W149">
        <v>2.1</v>
      </c>
      <c r="X149">
        <v>3.2</v>
      </c>
      <c r="Y149">
        <v>3.6</v>
      </c>
      <c r="Z149">
        <v>2.1</v>
      </c>
      <c r="AA149">
        <v>3.25</v>
      </c>
      <c r="AB149">
        <v>3.6</v>
      </c>
      <c r="AC149">
        <v>2.1</v>
      </c>
      <c r="AD149">
        <v>3.2</v>
      </c>
      <c r="AE149">
        <v>3.4</v>
      </c>
      <c r="AF149">
        <v>2.15</v>
      </c>
      <c r="AG149">
        <v>3.25</v>
      </c>
      <c r="AH149">
        <v>3.4</v>
      </c>
      <c r="AI149">
        <v>2.19</v>
      </c>
      <c r="AJ149">
        <v>3.32</v>
      </c>
      <c r="AK149">
        <v>3.79</v>
      </c>
      <c r="AL149">
        <v>2.25</v>
      </c>
      <c r="AM149">
        <v>3</v>
      </c>
      <c r="AN149">
        <v>3.5</v>
      </c>
      <c r="AO149">
        <v>2.1</v>
      </c>
      <c r="AP149">
        <v>3.13</v>
      </c>
      <c r="AQ149">
        <v>3.4</v>
      </c>
      <c r="AR149">
        <v>2.25</v>
      </c>
      <c r="AS149">
        <v>3.3</v>
      </c>
      <c r="AT149">
        <v>3.6</v>
      </c>
      <c r="AU149">
        <v>39</v>
      </c>
      <c r="AV149">
        <v>2.25</v>
      </c>
      <c r="AW149">
        <v>2.16</v>
      </c>
      <c r="AX149">
        <v>3.32</v>
      </c>
      <c r="AY149">
        <v>3.18</v>
      </c>
      <c r="AZ149">
        <v>3.79</v>
      </c>
      <c r="BA149">
        <v>3.5</v>
      </c>
      <c r="BB149">
        <v>38</v>
      </c>
      <c r="BC149">
        <v>2.35</v>
      </c>
      <c r="BD149">
        <v>2.25</v>
      </c>
      <c r="BE149">
        <v>1.7</v>
      </c>
      <c r="BF149">
        <v>1.62</v>
      </c>
      <c r="BG149">
        <v>22</v>
      </c>
      <c r="BH149">
        <v>-0.5</v>
      </c>
      <c r="BI149">
        <v>2.23</v>
      </c>
      <c r="BJ149">
        <v>2.16</v>
      </c>
      <c r="BK149">
        <v>1.78</v>
      </c>
      <c r="BL149">
        <v>1.72</v>
      </c>
      <c r="BM149">
        <v>2.2000000000000002</v>
      </c>
      <c r="BN149">
        <v>3.28</v>
      </c>
      <c r="BO149">
        <v>3.85</v>
      </c>
    </row>
    <row r="150" spans="1:67">
      <c r="A150" t="s">
        <v>63</v>
      </c>
      <c r="B150" s="77">
        <v>41616</v>
      </c>
      <c r="C150" t="s">
        <v>83</v>
      </c>
      <c r="D150" t="s">
        <v>75</v>
      </c>
      <c r="E150">
        <v>1</v>
      </c>
      <c r="F150">
        <v>0</v>
      </c>
      <c r="G150" t="s">
        <v>70</v>
      </c>
      <c r="H150">
        <v>1</v>
      </c>
      <c r="I150">
        <v>0</v>
      </c>
      <c r="J150" t="s">
        <v>70</v>
      </c>
      <c r="K150">
        <v>5</v>
      </c>
      <c r="L150">
        <v>21</v>
      </c>
      <c r="M150">
        <v>3</v>
      </c>
      <c r="N150">
        <v>3</v>
      </c>
      <c r="O150">
        <v>8</v>
      </c>
      <c r="P150">
        <v>19</v>
      </c>
      <c r="Q150">
        <v>1</v>
      </c>
      <c r="R150">
        <v>15</v>
      </c>
      <c r="S150">
        <v>3</v>
      </c>
      <c r="T150">
        <v>2</v>
      </c>
      <c r="U150">
        <v>0</v>
      </c>
      <c r="V150">
        <v>0</v>
      </c>
      <c r="W150">
        <v>2.38</v>
      </c>
      <c r="X150">
        <v>3.2</v>
      </c>
      <c r="Y150">
        <v>3</v>
      </c>
      <c r="Z150">
        <v>2.4</v>
      </c>
      <c r="AA150">
        <v>3.2</v>
      </c>
      <c r="AB150">
        <v>3</v>
      </c>
      <c r="AC150">
        <v>2.4</v>
      </c>
      <c r="AD150">
        <v>3.2</v>
      </c>
      <c r="AE150">
        <v>2.85</v>
      </c>
      <c r="AF150">
        <v>2.5</v>
      </c>
      <c r="AG150">
        <v>3.2</v>
      </c>
      <c r="AH150">
        <v>2.8</v>
      </c>
      <c r="AI150">
        <v>2.48</v>
      </c>
      <c r="AJ150">
        <v>3.21</v>
      </c>
      <c r="AK150">
        <v>3.27</v>
      </c>
      <c r="AL150">
        <v>2.5</v>
      </c>
      <c r="AM150">
        <v>3</v>
      </c>
      <c r="AN150">
        <v>3</v>
      </c>
      <c r="AO150">
        <v>2.4</v>
      </c>
      <c r="AP150">
        <v>3.2</v>
      </c>
      <c r="AQ150">
        <v>2.88</v>
      </c>
      <c r="AR150">
        <v>2.4500000000000002</v>
      </c>
      <c r="AS150">
        <v>3.3</v>
      </c>
      <c r="AT150">
        <v>3.2</v>
      </c>
      <c r="AU150">
        <v>39</v>
      </c>
      <c r="AV150">
        <v>2.5</v>
      </c>
      <c r="AW150">
        <v>2.42</v>
      </c>
      <c r="AX150">
        <v>3.31</v>
      </c>
      <c r="AY150">
        <v>3.21</v>
      </c>
      <c r="AZ150">
        <v>3.27</v>
      </c>
      <c r="BA150">
        <v>2.98</v>
      </c>
      <c r="BB150">
        <v>38</v>
      </c>
      <c r="BC150">
        <v>2.25</v>
      </c>
      <c r="BD150">
        <v>2.14</v>
      </c>
      <c r="BE150">
        <v>1.77</v>
      </c>
      <c r="BF150">
        <v>1.69</v>
      </c>
      <c r="BG150">
        <v>22</v>
      </c>
      <c r="BH150">
        <v>-0.25</v>
      </c>
      <c r="BI150">
        <v>2.12</v>
      </c>
      <c r="BJ150">
        <v>2.06</v>
      </c>
      <c r="BK150">
        <v>1.86</v>
      </c>
      <c r="BL150">
        <v>1.81</v>
      </c>
      <c r="BM150">
        <v>2.4300000000000002</v>
      </c>
      <c r="BN150">
        <v>3.31</v>
      </c>
      <c r="BO150">
        <v>3.25</v>
      </c>
    </row>
    <row r="151" spans="1:67">
      <c r="A151" t="s">
        <v>63</v>
      </c>
      <c r="B151" s="77">
        <v>41616</v>
      </c>
      <c r="C151" t="s">
        <v>68</v>
      </c>
      <c r="D151" t="s">
        <v>72</v>
      </c>
      <c r="E151">
        <v>2</v>
      </c>
      <c r="F151">
        <v>1</v>
      </c>
      <c r="G151" t="s">
        <v>70</v>
      </c>
      <c r="H151">
        <v>0</v>
      </c>
      <c r="I151">
        <v>1</v>
      </c>
      <c r="J151" t="s">
        <v>66</v>
      </c>
      <c r="K151">
        <v>15</v>
      </c>
      <c r="L151">
        <v>11</v>
      </c>
      <c r="M151">
        <v>6</v>
      </c>
      <c r="N151">
        <v>5</v>
      </c>
      <c r="O151">
        <v>13</v>
      </c>
      <c r="P151">
        <v>15</v>
      </c>
      <c r="Q151">
        <v>9</v>
      </c>
      <c r="R151">
        <v>5</v>
      </c>
      <c r="S151">
        <v>1</v>
      </c>
      <c r="T151">
        <v>3</v>
      </c>
      <c r="U151">
        <v>0</v>
      </c>
      <c r="V151">
        <v>1</v>
      </c>
      <c r="W151">
        <v>1.95</v>
      </c>
      <c r="X151">
        <v>3.3</v>
      </c>
      <c r="Y151">
        <v>4</v>
      </c>
      <c r="Z151">
        <v>1.95</v>
      </c>
      <c r="AA151">
        <v>3.3</v>
      </c>
      <c r="AB151">
        <v>4</v>
      </c>
      <c r="AC151">
        <v>2</v>
      </c>
      <c r="AD151">
        <v>3.3</v>
      </c>
      <c r="AE151">
        <v>3.6</v>
      </c>
      <c r="AF151">
        <v>1.9</v>
      </c>
      <c r="AG151">
        <v>3.3</v>
      </c>
      <c r="AH151">
        <v>4.2</v>
      </c>
      <c r="AI151">
        <v>2.04</v>
      </c>
      <c r="AJ151">
        <v>3.28</v>
      </c>
      <c r="AK151">
        <v>4.45</v>
      </c>
      <c r="AL151">
        <v>2.0499999999999998</v>
      </c>
      <c r="AM151">
        <v>3</v>
      </c>
      <c r="AN151">
        <v>4.2</v>
      </c>
      <c r="AO151">
        <v>1.95</v>
      </c>
      <c r="AP151">
        <v>3.25</v>
      </c>
      <c r="AQ151">
        <v>3.75</v>
      </c>
      <c r="AR151">
        <v>2.0499999999999998</v>
      </c>
      <c r="AS151">
        <v>3.4</v>
      </c>
      <c r="AT151">
        <v>4.0999999999999996</v>
      </c>
      <c r="AU151">
        <v>39</v>
      </c>
      <c r="AV151">
        <v>2.06</v>
      </c>
      <c r="AW151">
        <v>1.99</v>
      </c>
      <c r="AX151">
        <v>3.45</v>
      </c>
      <c r="AY151">
        <v>3.29</v>
      </c>
      <c r="AZ151">
        <v>4.45</v>
      </c>
      <c r="BA151">
        <v>3.93</v>
      </c>
      <c r="BB151">
        <v>38</v>
      </c>
      <c r="BC151">
        <v>2.2000000000000002</v>
      </c>
      <c r="BD151">
        <v>2.09</v>
      </c>
      <c r="BE151">
        <v>1.81</v>
      </c>
      <c r="BF151">
        <v>1.73</v>
      </c>
      <c r="BG151">
        <v>22</v>
      </c>
      <c r="BH151">
        <v>-0.5</v>
      </c>
      <c r="BI151">
        <v>2.0499999999999998</v>
      </c>
      <c r="BJ151">
        <v>1.99</v>
      </c>
      <c r="BK151">
        <v>1.94</v>
      </c>
      <c r="BL151">
        <v>1.88</v>
      </c>
      <c r="BM151">
        <v>1.93</v>
      </c>
      <c r="BN151">
        <v>3.38</v>
      </c>
      <c r="BO151">
        <v>4.8899999999999997</v>
      </c>
    </row>
    <row r="152" spans="1:67">
      <c r="A152" t="s">
        <v>63</v>
      </c>
      <c r="B152" s="77">
        <v>41622</v>
      </c>
      <c r="C152" t="s">
        <v>86</v>
      </c>
      <c r="D152" t="s">
        <v>68</v>
      </c>
      <c r="E152">
        <v>0</v>
      </c>
      <c r="F152">
        <v>0</v>
      </c>
      <c r="G152" t="s">
        <v>67</v>
      </c>
      <c r="H152">
        <v>0</v>
      </c>
      <c r="I152">
        <v>0</v>
      </c>
      <c r="J152" t="s">
        <v>67</v>
      </c>
      <c r="K152">
        <v>16</v>
      </c>
      <c r="L152">
        <v>8</v>
      </c>
      <c r="M152">
        <v>6</v>
      </c>
      <c r="N152">
        <v>1</v>
      </c>
      <c r="O152">
        <v>17</v>
      </c>
      <c r="P152">
        <v>19</v>
      </c>
      <c r="Q152">
        <v>6</v>
      </c>
      <c r="R152">
        <v>2</v>
      </c>
      <c r="S152">
        <v>2</v>
      </c>
      <c r="T152">
        <v>1</v>
      </c>
      <c r="U152">
        <v>0</v>
      </c>
      <c r="V152">
        <v>0</v>
      </c>
      <c r="W152">
        <v>2.7</v>
      </c>
      <c r="X152">
        <v>3</v>
      </c>
      <c r="Y152">
        <v>2.75</v>
      </c>
      <c r="Z152">
        <v>2.7</v>
      </c>
      <c r="AA152">
        <v>3.1</v>
      </c>
      <c r="AB152">
        <v>2.7</v>
      </c>
      <c r="AC152">
        <v>2.4</v>
      </c>
      <c r="AD152">
        <v>3.2</v>
      </c>
      <c r="AE152">
        <v>2.85</v>
      </c>
      <c r="AF152">
        <v>2.75</v>
      </c>
      <c r="AG152">
        <v>3.2</v>
      </c>
      <c r="AH152">
        <v>2.6</v>
      </c>
      <c r="AI152">
        <v>2.83</v>
      </c>
      <c r="AJ152">
        <v>3.06</v>
      </c>
      <c r="AK152">
        <v>2.94</v>
      </c>
      <c r="AL152">
        <v>2.75</v>
      </c>
      <c r="AM152">
        <v>3</v>
      </c>
      <c r="AN152">
        <v>2.75</v>
      </c>
      <c r="AO152">
        <v>2.6</v>
      </c>
      <c r="AP152">
        <v>3.2</v>
      </c>
      <c r="AQ152">
        <v>2.63</v>
      </c>
      <c r="AR152">
        <v>2.75</v>
      </c>
      <c r="AS152">
        <v>3.2</v>
      </c>
      <c r="AT152">
        <v>2.8</v>
      </c>
      <c r="AU152">
        <v>37</v>
      </c>
      <c r="AV152">
        <v>2.83</v>
      </c>
      <c r="AW152">
        <v>2.65</v>
      </c>
      <c r="AX152">
        <v>3.25</v>
      </c>
      <c r="AY152">
        <v>3.13</v>
      </c>
      <c r="AZ152">
        <v>2.94</v>
      </c>
      <c r="BA152">
        <v>2.74</v>
      </c>
      <c r="BB152">
        <v>35</v>
      </c>
      <c r="BC152">
        <v>2.0699999999999998</v>
      </c>
      <c r="BD152">
        <v>2</v>
      </c>
      <c r="BE152">
        <v>1.88</v>
      </c>
      <c r="BF152">
        <v>1.79</v>
      </c>
      <c r="BG152">
        <v>19</v>
      </c>
      <c r="BH152">
        <v>0</v>
      </c>
      <c r="BI152">
        <v>1.93</v>
      </c>
      <c r="BJ152">
        <v>1.88</v>
      </c>
      <c r="BK152">
        <v>2.0299999999999998</v>
      </c>
      <c r="BL152">
        <v>1.96</v>
      </c>
      <c r="BM152">
        <v>2.42</v>
      </c>
      <c r="BN152">
        <v>3.36</v>
      </c>
      <c r="BO152">
        <v>3.23</v>
      </c>
    </row>
    <row r="153" spans="1:67">
      <c r="A153" t="s">
        <v>63</v>
      </c>
      <c r="B153" s="77">
        <v>41623</v>
      </c>
      <c r="C153" t="s">
        <v>82</v>
      </c>
      <c r="D153" t="s">
        <v>64</v>
      </c>
      <c r="E153">
        <v>0</v>
      </c>
      <c r="F153">
        <v>1</v>
      </c>
      <c r="G153" t="s">
        <v>66</v>
      </c>
      <c r="H153">
        <v>0</v>
      </c>
      <c r="I153">
        <v>1</v>
      </c>
      <c r="J153" t="s">
        <v>66</v>
      </c>
      <c r="K153">
        <v>11</v>
      </c>
      <c r="L153">
        <v>9</v>
      </c>
      <c r="M153">
        <v>6</v>
      </c>
      <c r="N153">
        <v>2</v>
      </c>
      <c r="O153">
        <v>15</v>
      </c>
      <c r="P153">
        <v>23</v>
      </c>
      <c r="Q153">
        <v>7</v>
      </c>
      <c r="R153">
        <v>3</v>
      </c>
      <c r="S153">
        <v>4</v>
      </c>
      <c r="T153">
        <v>5</v>
      </c>
      <c r="U153">
        <v>0</v>
      </c>
      <c r="V153">
        <v>0</v>
      </c>
      <c r="W153">
        <v>2.25</v>
      </c>
      <c r="X153">
        <v>3</v>
      </c>
      <c r="Y153">
        <v>3.5</v>
      </c>
      <c r="Z153">
        <v>2.2000000000000002</v>
      </c>
      <c r="AA153">
        <v>3.1</v>
      </c>
      <c r="AB153">
        <v>3.5</v>
      </c>
      <c r="AC153">
        <v>2.1</v>
      </c>
      <c r="AD153">
        <v>3.15</v>
      </c>
      <c r="AE153">
        <v>3.45</v>
      </c>
      <c r="AF153">
        <v>2.15</v>
      </c>
      <c r="AG153">
        <v>3.2</v>
      </c>
      <c r="AH153">
        <v>3.5</v>
      </c>
      <c r="AI153">
        <v>2.33</v>
      </c>
      <c r="AJ153">
        <v>3.14</v>
      </c>
      <c r="AK153">
        <v>3.67</v>
      </c>
      <c r="AL153">
        <v>2.38</v>
      </c>
      <c r="AM153">
        <v>3.2</v>
      </c>
      <c r="AN153">
        <v>3</v>
      </c>
      <c r="AO153">
        <v>2.2000000000000002</v>
      </c>
      <c r="AP153">
        <v>3.13</v>
      </c>
      <c r="AQ153">
        <v>3.2</v>
      </c>
      <c r="AR153">
        <v>2.2999999999999998</v>
      </c>
      <c r="AS153">
        <v>3.2</v>
      </c>
      <c r="AT153">
        <v>3.6</v>
      </c>
      <c r="AU153">
        <v>37</v>
      </c>
      <c r="AV153">
        <v>2.38</v>
      </c>
      <c r="AW153">
        <v>2.25</v>
      </c>
      <c r="AX153">
        <v>3.25</v>
      </c>
      <c r="AY153">
        <v>3.12</v>
      </c>
      <c r="AZ153">
        <v>3.67</v>
      </c>
      <c r="BA153">
        <v>3.38</v>
      </c>
      <c r="BB153">
        <v>26</v>
      </c>
      <c r="BC153">
        <v>2.6</v>
      </c>
      <c r="BD153">
        <v>2.4500000000000002</v>
      </c>
      <c r="BE153">
        <v>1.56</v>
      </c>
      <c r="BF153">
        <v>1.51</v>
      </c>
      <c r="BG153">
        <v>18</v>
      </c>
      <c r="BH153">
        <v>-0.25</v>
      </c>
      <c r="BI153">
        <v>1.97</v>
      </c>
      <c r="BJ153">
        <v>1.92</v>
      </c>
      <c r="BK153">
        <v>1.99</v>
      </c>
      <c r="BL153">
        <v>1.94</v>
      </c>
      <c r="BM153">
        <v>2.2999999999999998</v>
      </c>
      <c r="BN153">
        <v>3.16</v>
      </c>
      <c r="BO153">
        <v>3.72</v>
      </c>
    </row>
    <row r="154" spans="1:67">
      <c r="A154" t="s">
        <v>63</v>
      </c>
      <c r="B154" s="77">
        <v>41623</v>
      </c>
      <c r="C154" t="s">
        <v>85</v>
      </c>
      <c r="D154" t="s">
        <v>80</v>
      </c>
      <c r="E154">
        <v>3</v>
      </c>
      <c r="F154">
        <v>0</v>
      </c>
      <c r="G154" t="s">
        <v>70</v>
      </c>
      <c r="H154">
        <v>2</v>
      </c>
      <c r="I154">
        <v>0</v>
      </c>
      <c r="J154" t="s">
        <v>70</v>
      </c>
      <c r="K154">
        <v>18</v>
      </c>
      <c r="L154">
        <v>8</v>
      </c>
      <c r="M154">
        <v>8</v>
      </c>
      <c r="N154">
        <v>4</v>
      </c>
      <c r="O154">
        <v>10</v>
      </c>
      <c r="P154">
        <v>11</v>
      </c>
      <c r="Q154">
        <v>6</v>
      </c>
      <c r="R154">
        <v>6</v>
      </c>
      <c r="S154">
        <v>2</v>
      </c>
      <c r="T154">
        <v>1</v>
      </c>
      <c r="U154">
        <v>0</v>
      </c>
      <c r="V154">
        <v>0</v>
      </c>
      <c r="W154">
        <v>1.44</v>
      </c>
      <c r="X154">
        <v>4.33</v>
      </c>
      <c r="Y154">
        <v>7</v>
      </c>
      <c r="Z154">
        <v>1.36</v>
      </c>
      <c r="AA154">
        <v>4.75</v>
      </c>
      <c r="AB154">
        <v>8.25</v>
      </c>
      <c r="AC154">
        <v>1.42</v>
      </c>
      <c r="AD154">
        <v>4.2</v>
      </c>
      <c r="AE154">
        <v>7.3</v>
      </c>
      <c r="AF154">
        <v>1.4</v>
      </c>
      <c r="AG154">
        <v>4.5</v>
      </c>
      <c r="AH154">
        <v>8</v>
      </c>
      <c r="AI154">
        <v>1.45</v>
      </c>
      <c r="AJ154">
        <v>4.63</v>
      </c>
      <c r="AK154">
        <v>8.57</v>
      </c>
      <c r="AL154">
        <v>1.44</v>
      </c>
      <c r="AM154">
        <v>4</v>
      </c>
      <c r="AN154">
        <v>8</v>
      </c>
      <c r="AO154">
        <v>1.4</v>
      </c>
      <c r="AP154">
        <v>4.33</v>
      </c>
      <c r="AQ154">
        <v>8</v>
      </c>
      <c r="AR154">
        <v>1.45</v>
      </c>
      <c r="AS154">
        <v>4.5999999999999996</v>
      </c>
      <c r="AT154">
        <v>8.5</v>
      </c>
      <c r="AU154">
        <v>37</v>
      </c>
      <c r="AV154">
        <v>1.47</v>
      </c>
      <c r="AW154">
        <v>1.42</v>
      </c>
      <c r="AX154">
        <v>4.75</v>
      </c>
      <c r="AY154">
        <v>4.34</v>
      </c>
      <c r="AZ154">
        <v>8.75</v>
      </c>
      <c r="BA154">
        <v>8.0299999999999994</v>
      </c>
      <c r="BB154">
        <v>35</v>
      </c>
      <c r="BC154">
        <v>1.79</v>
      </c>
      <c r="BD154">
        <v>1.72</v>
      </c>
      <c r="BE154">
        <v>2.2200000000000002</v>
      </c>
      <c r="BF154">
        <v>2.09</v>
      </c>
      <c r="BG154">
        <v>18</v>
      </c>
      <c r="BH154">
        <v>-1.25</v>
      </c>
      <c r="BI154">
        <v>2.02</v>
      </c>
      <c r="BJ154">
        <v>1.97</v>
      </c>
      <c r="BK154">
        <v>1.93</v>
      </c>
      <c r="BL154">
        <v>1.9</v>
      </c>
      <c r="BM154">
        <v>1.48</v>
      </c>
      <c r="BN154">
        <v>4.72</v>
      </c>
      <c r="BO154">
        <v>7.51</v>
      </c>
    </row>
    <row r="155" spans="1:67">
      <c r="A155" t="s">
        <v>63</v>
      </c>
      <c r="B155" s="77">
        <v>41623</v>
      </c>
      <c r="C155" t="s">
        <v>74</v>
      </c>
      <c r="D155" t="s">
        <v>72</v>
      </c>
      <c r="E155">
        <v>1</v>
      </c>
      <c r="F155">
        <v>1</v>
      </c>
      <c r="G155" t="s">
        <v>67</v>
      </c>
      <c r="H155">
        <v>0</v>
      </c>
      <c r="I155">
        <v>0</v>
      </c>
      <c r="J155" t="s">
        <v>67</v>
      </c>
      <c r="K155">
        <v>13</v>
      </c>
      <c r="L155">
        <v>15</v>
      </c>
      <c r="M155">
        <v>3</v>
      </c>
      <c r="N155">
        <v>4</v>
      </c>
      <c r="O155">
        <v>10</v>
      </c>
      <c r="P155">
        <v>13</v>
      </c>
      <c r="Q155">
        <v>10</v>
      </c>
      <c r="R155">
        <v>8</v>
      </c>
      <c r="S155">
        <v>0</v>
      </c>
      <c r="T155">
        <v>2</v>
      </c>
      <c r="U155">
        <v>0</v>
      </c>
      <c r="V155">
        <v>0</v>
      </c>
      <c r="W155">
        <v>2.15</v>
      </c>
      <c r="X155">
        <v>3.25</v>
      </c>
      <c r="Y155">
        <v>3.4</v>
      </c>
      <c r="Z155">
        <v>2.1</v>
      </c>
      <c r="AA155">
        <v>3.25</v>
      </c>
      <c r="AB155">
        <v>3.6</v>
      </c>
      <c r="AC155">
        <v>1.95</v>
      </c>
      <c r="AD155">
        <v>3.35</v>
      </c>
      <c r="AE155">
        <v>3.7</v>
      </c>
      <c r="AF155">
        <v>2.1</v>
      </c>
      <c r="AG155">
        <v>3.2</v>
      </c>
      <c r="AH155">
        <v>3.6</v>
      </c>
      <c r="AI155">
        <v>2.23</v>
      </c>
      <c r="AJ155">
        <v>3.22</v>
      </c>
      <c r="AK155">
        <v>3.85</v>
      </c>
      <c r="AL155">
        <v>2.25</v>
      </c>
      <c r="AM155">
        <v>3.2</v>
      </c>
      <c r="AN155">
        <v>3.2</v>
      </c>
      <c r="AO155">
        <v>2.1</v>
      </c>
      <c r="AP155">
        <v>3.2</v>
      </c>
      <c r="AQ155">
        <v>3.4</v>
      </c>
      <c r="AR155">
        <v>2.2000000000000002</v>
      </c>
      <c r="AS155">
        <v>3.25</v>
      </c>
      <c r="AT155">
        <v>3.8</v>
      </c>
      <c r="AU155">
        <v>37</v>
      </c>
      <c r="AV155">
        <v>2.25</v>
      </c>
      <c r="AW155">
        <v>2.15</v>
      </c>
      <c r="AX155">
        <v>3.35</v>
      </c>
      <c r="AY155">
        <v>3.2</v>
      </c>
      <c r="AZ155">
        <v>3.85</v>
      </c>
      <c r="BA155">
        <v>3.52</v>
      </c>
      <c r="BB155">
        <v>34</v>
      </c>
      <c r="BC155">
        <v>2.39</v>
      </c>
      <c r="BD155">
        <v>2.2599999999999998</v>
      </c>
      <c r="BE155">
        <v>1.67</v>
      </c>
      <c r="BF155">
        <v>1.62</v>
      </c>
      <c r="BG155">
        <v>18</v>
      </c>
      <c r="BH155">
        <v>-0.25</v>
      </c>
      <c r="BI155">
        <v>1.89</v>
      </c>
      <c r="BJ155">
        <v>1.84</v>
      </c>
      <c r="BK155">
        <v>2.08</v>
      </c>
      <c r="BL155">
        <v>2.0299999999999998</v>
      </c>
      <c r="BM155">
        <v>2.5099999999999998</v>
      </c>
      <c r="BN155">
        <v>3.22</v>
      </c>
      <c r="BO155">
        <v>3.22</v>
      </c>
    </row>
    <row r="156" spans="1:67">
      <c r="A156" t="s">
        <v>63</v>
      </c>
      <c r="B156" s="77">
        <v>41623</v>
      </c>
      <c r="C156" t="s">
        <v>65</v>
      </c>
      <c r="D156" t="s">
        <v>84</v>
      </c>
      <c r="E156">
        <v>4</v>
      </c>
      <c r="F156">
        <v>0</v>
      </c>
      <c r="G156" t="s">
        <v>70</v>
      </c>
      <c r="H156">
        <v>3</v>
      </c>
      <c r="I156">
        <v>0</v>
      </c>
      <c r="J156" t="s">
        <v>70</v>
      </c>
      <c r="K156">
        <v>20</v>
      </c>
      <c r="L156">
        <v>12</v>
      </c>
      <c r="M156">
        <v>8</v>
      </c>
      <c r="N156">
        <v>0</v>
      </c>
      <c r="O156">
        <v>12</v>
      </c>
      <c r="P156">
        <v>15</v>
      </c>
      <c r="Q156">
        <v>5</v>
      </c>
      <c r="R156">
        <v>2</v>
      </c>
      <c r="S156">
        <v>1</v>
      </c>
      <c r="T156">
        <v>1</v>
      </c>
      <c r="U156">
        <v>0</v>
      </c>
      <c r="V156">
        <v>0</v>
      </c>
      <c r="W156">
        <v>1.17</v>
      </c>
      <c r="X156">
        <v>6.5</v>
      </c>
      <c r="Y156">
        <v>17</v>
      </c>
      <c r="Z156">
        <v>1.1499999999999999</v>
      </c>
      <c r="AA156">
        <v>6.75</v>
      </c>
      <c r="AB156">
        <v>19.5</v>
      </c>
      <c r="AC156">
        <v>1.1499999999999999</v>
      </c>
      <c r="AD156">
        <v>7</v>
      </c>
      <c r="AE156">
        <v>15</v>
      </c>
      <c r="AF156">
        <v>1.1599999999999999</v>
      </c>
      <c r="AG156">
        <v>6.5</v>
      </c>
      <c r="AH156">
        <v>17</v>
      </c>
      <c r="AL156">
        <v>1.2</v>
      </c>
      <c r="AM156">
        <v>6</v>
      </c>
      <c r="AN156">
        <v>15</v>
      </c>
      <c r="AO156">
        <v>1.18</v>
      </c>
      <c r="AP156">
        <v>6</v>
      </c>
      <c r="AQ156">
        <v>15</v>
      </c>
      <c r="AR156">
        <v>1.2</v>
      </c>
      <c r="AS156">
        <v>7</v>
      </c>
      <c r="AT156">
        <v>20</v>
      </c>
      <c r="AU156">
        <v>35</v>
      </c>
      <c r="AV156">
        <v>1.21</v>
      </c>
      <c r="AW156">
        <v>1.18</v>
      </c>
      <c r="AX156">
        <v>7.81</v>
      </c>
      <c r="AY156">
        <v>6.44</v>
      </c>
      <c r="AZ156">
        <v>23</v>
      </c>
      <c r="BA156">
        <v>16.989999999999998</v>
      </c>
      <c r="BB156">
        <v>27</v>
      </c>
      <c r="BC156">
        <v>1.53</v>
      </c>
      <c r="BD156">
        <v>1.5</v>
      </c>
      <c r="BE156">
        <v>2.69</v>
      </c>
      <c r="BF156">
        <v>2.48</v>
      </c>
      <c r="BG156">
        <v>18</v>
      </c>
      <c r="BH156">
        <v>-2</v>
      </c>
      <c r="BI156">
        <v>2</v>
      </c>
      <c r="BJ156">
        <v>1.93</v>
      </c>
      <c r="BK156">
        <v>2</v>
      </c>
      <c r="BL156">
        <v>1.92</v>
      </c>
      <c r="BM156">
        <v>1.1599999999999999</v>
      </c>
      <c r="BN156">
        <v>8.1999999999999993</v>
      </c>
      <c r="BO156">
        <v>28</v>
      </c>
    </row>
    <row r="157" spans="1:67">
      <c r="A157" t="s">
        <v>63</v>
      </c>
      <c r="B157" s="77">
        <v>41623</v>
      </c>
      <c r="C157" t="s">
        <v>75</v>
      </c>
      <c r="D157" t="s">
        <v>77</v>
      </c>
      <c r="E157">
        <v>2</v>
      </c>
      <c r="F157">
        <v>0</v>
      </c>
      <c r="G157" t="s">
        <v>70</v>
      </c>
      <c r="H157">
        <v>2</v>
      </c>
      <c r="I157">
        <v>0</v>
      </c>
      <c r="J157" t="s">
        <v>70</v>
      </c>
      <c r="K157">
        <v>17</v>
      </c>
      <c r="L157">
        <v>10</v>
      </c>
      <c r="M157">
        <v>5</v>
      </c>
      <c r="N157">
        <v>1</v>
      </c>
      <c r="O157">
        <v>22</v>
      </c>
      <c r="P157">
        <v>17</v>
      </c>
      <c r="Q157">
        <v>1</v>
      </c>
      <c r="R157">
        <v>5</v>
      </c>
      <c r="S157">
        <v>2</v>
      </c>
      <c r="T157">
        <v>5</v>
      </c>
      <c r="U157">
        <v>0</v>
      </c>
      <c r="V157">
        <v>0</v>
      </c>
      <c r="W157">
        <v>1.5</v>
      </c>
      <c r="X157">
        <v>4</v>
      </c>
      <c r="Y157">
        <v>7</v>
      </c>
      <c r="Z157">
        <v>1.53</v>
      </c>
      <c r="AA157">
        <v>3.9</v>
      </c>
      <c r="AB157">
        <v>6.5</v>
      </c>
      <c r="AC157">
        <v>1.55</v>
      </c>
      <c r="AD157">
        <v>3.9</v>
      </c>
      <c r="AE157">
        <v>5.6</v>
      </c>
      <c r="AF157">
        <v>1.53</v>
      </c>
      <c r="AG157">
        <v>4</v>
      </c>
      <c r="AH157">
        <v>6</v>
      </c>
      <c r="AI157">
        <v>1.53</v>
      </c>
      <c r="AJ157">
        <v>4.2699999999999996</v>
      </c>
      <c r="AK157">
        <v>7.52</v>
      </c>
      <c r="AL157">
        <v>1.57</v>
      </c>
      <c r="AM157">
        <v>3.2</v>
      </c>
      <c r="AN157">
        <v>6</v>
      </c>
      <c r="AO157">
        <v>1.5</v>
      </c>
      <c r="AP157">
        <v>3.8</v>
      </c>
      <c r="AQ157">
        <v>6.5</v>
      </c>
      <c r="AR157">
        <v>1.55</v>
      </c>
      <c r="AS157">
        <v>4.2</v>
      </c>
      <c r="AT157">
        <v>7</v>
      </c>
      <c r="AU157">
        <v>37</v>
      </c>
      <c r="AV157">
        <v>1.57</v>
      </c>
      <c r="AW157">
        <v>1.52</v>
      </c>
      <c r="AX157">
        <v>4.2699999999999996</v>
      </c>
      <c r="AY157">
        <v>3.9</v>
      </c>
      <c r="AZ157">
        <v>7.52</v>
      </c>
      <c r="BA157">
        <v>6.77</v>
      </c>
      <c r="BB157">
        <v>35</v>
      </c>
      <c r="BC157">
        <v>2</v>
      </c>
      <c r="BD157">
        <v>1.91</v>
      </c>
      <c r="BE157">
        <v>1.95</v>
      </c>
      <c r="BF157">
        <v>1.88</v>
      </c>
      <c r="BG157">
        <v>20</v>
      </c>
      <c r="BH157">
        <v>-1</v>
      </c>
      <c r="BI157">
        <v>2.0099999999999998</v>
      </c>
      <c r="BJ157">
        <v>1.89</v>
      </c>
      <c r="BK157">
        <v>2.02</v>
      </c>
      <c r="BL157">
        <v>1.96</v>
      </c>
      <c r="BM157">
        <v>1.5</v>
      </c>
      <c r="BN157">
        <v>4.3499999999999996</v>
      </c>
      <c r="BO157">
        <v>8.2100000000000009</v>
      </c>
    </row>
    <row r="158" spans="1:67">
      <c r="A158" t="s">
        <v>63</v>
      </c>
      <c r="B158" s="77">
        <v>41623</v>
      </c>
      <c r="C158" t="s">
        <v>79</v>
      </c>
      <c r="D158" t="s">
        <v>73</v>
      </c>
      <c r="E158">
        <v>4</v>
      </c>
      <c r="F158">
        <v>2</v>
      </c>
      <c r="G158" t="s">
        <v>70</v>
      </c>
      <c r="H158">
        <v>3</v>
      </c>
      <c r="I158">
        <v>2</v>
      </c>
      <c r="J158" t="s">
        <v>70</v>
      </c>
      <c r="K158">
        <v>13</v>
      </c>
      <c r="L158">
        <v>11</v>
      </c>
      <c r="M158">
        <v>9</v>
      </c>
      <c r="N158">
        <v>5</v>
      </c>
      <c r="O158">
        <v>12</v>
      </c>
      <c r="P158">
        <v>9</v>
      </c>
      <c r="Q158">
        <v>5</v>
      </c>
      <c r="R158">
        <v>6</v>
      </c>
      <c r="S158">
        <v>2</v>
      </c>
      <c r="T158">
        <v>1</v>
      </c>
      <c r="U158">
        <v>0</v>
      </c>
      <c r="V158">
        <v>1</v>
      </c>
      <c r="W158">
        <v>1.91</v>
      </c>
      <c r="X158">
        <v>3.5</v>
      </c>
      <c r="Y158">
        <v>4</v>
      </c>
      <c r="Z158">
        <v>1.91</v>
      </c>
      <c r="AA158">
        <v>3.5</v>
      </c>
      <c r="AB158">
        <v>3.9</v>
      </c>
      <c r="AC158">
        <v>2</v>
      </c>
      <c r="AD158">
        <v>3.3</v>
      </c>
      <c r="AE158">
        <v>3.6</v>
      </c>
      <c r="AF158">
        <v>1.9</v>
      </c>
      <c r="AG158">
        <v>3.5</v>
      </c>
      <c r="AH158">
        <v>4</v>
      </c>
      <c r="AI158">
        <v>1.91</v>
      </c>
      <c r="AJ158">
        <v>3.69</v>
      </c>
      <c r="AK158">
        <v>4.4400000000000004</v>
      </c>
      <c r="AL158">
        <v>1.95</v>
      </c>
      <c r="AM158">
        <v>3.2</v>
      </c>
      <c r="AN158">
        <v>4.2</v>
      </c>
      <c r="AO158">
        <v>1.9</v>
      </c>
      <c r="AP158">
        <v>3.4</v>
      </c>
      <c r="AQ158">
        <v>3.8</v>
      </c>
      <c r="AR158">
        <v>1.95</v>
      </c>
      <c r="AS158">
        <v>3.6</v>
      </c>
      <c r="AT158">
        <v>4.0999999999999996</v>
      </c>
      <c r="AU158">
        <v>37</v>
      </c>
      <c r="AV158">
        <v>2</v>
      </c>
      <c r="AW158">
        <v>1.91</v>
      </c>
      <c r="AX158">
        <v>3.73</v>
      </c>
      <c r="AY158">
        <v>3.5</v>
      </c>
      <c r="AZ158">
        <v>4.4400000000000004</v>
      </c>
      <c r="BA158">
        <v>4.0199999999999996</v>
      </c>
      <c r="BB158">
        <v>35</v>
      </c>
      <c r="BC158">
        <v>1.8</v>
      </c>
      <c r="BD158">
        <v>1.73</v>
      </c>
      <c r="BE158">
        <v>2.2000000000000002</v>
      </c>
      <c r="BF158">
        <v>2.08</v>
      </c>
      <c r="BG158">
        <v>18</v>
      </c>
      <c r="BH158">
        <v>-0.5</v>
      </c>
      <c r="BI158">
        <v>1.92</v>
      </c>
      <c r="BJ158">
        <v>1.89</v>
      </c>
      <c r="BK158">
        <v>2.0299999999999998</v>
      </c>
      <c r="BL158">
        <v>1.98</v>
      </c>
      <c r="BM158">
        <v>2.06</v>
      </c>
      <c r="BN158">
        <v>3.66</v>
      </c>
      <c r="BO158">
        <v>3.83</v>
      </c>
    </row>
    <row r="159" spans="1:67">
      <c r="A159" t="s">
        <v>63</v>
      </c>
      <c r="B159" s="77">
        <v>41623</v>
      </c>
      <c r="C159" t="s">
        <v>81</v>
      </c>
      <c r="D159" t="s">
        <v>71</v>
      </c>
      <c r="E159">
        <v>0</v>
      </c>
      <c r="F159">
        <v>0</v>
      </c>
      <c r="G159" t="s">
        <v>67</v>
      </c>
      <c r="H159">
        <v>0</v>
      </c>
      <c r="I159">
        <v>0</v>
      </c>
      <c r="J159" t="s">
        <v>67</v>
      </c>
      <c r="K159">
        <v>10</v>
      </c>
      <c r="L159">
        <v>18</v>
      </c>
      <c r="M159">
        <v>2</v>
      </c>
      <c r="N159">
        <v>4</v>
      </c>
      <c r="O159">
        <v>13</v>
      </c>
      <c r="P159">
        <v>17</v>
      </c>
      <c r="Q159">
        <v>5</v>
      </c>
      <c r="R159">
        <v>3</v>
      </c>
      <c r="S159">
        <v>4</v>
      </c>
      <c r="T159">
        <v>4</v>
      </c>
      <c r="U159">
        <v>0</v>
      </c>
      <c r="V159">
        <v>0</v>
      </c>
      <c r="W159">
        <v>1.8</v>
      </c>
      <c r="X159">
        <v>3.6</v>
      </c>
      <c r="Y159">
        <v>4.33</v>
      </c>
      <c r="Z159">
        <v>1.83</v>
      </c>
      <c r="AA159">
        <v>3.4</v>
      </c>
      <c r="AB159">
        <v>4.5</v>
      </c>
      <c r="AC159">
        <v>1.8</v>
      </c>
      <c r="AD159">
        <v>3.4</v>
      </c>
      <c r="AE159">
        <v>4.3499999999999996</v>
      </c>
      <c r="AF159">
        <v>1.85</v>
      </c>
      <c r="AG159">
        <v>3.4</v>
      </c>
      <c r="AH159">
        <v>4.33</v>
      </c>
      <c r="AI159">
        <v>1.87</v>
      </c>
      <c r="AJ159">
        <v>3.63</v>
      </c>
      <c r="AK159">
        <v>4.78</v>
      </c>
      <c r="AL159">
        <v>1.91</v>
      </c>
      <c r="AM159">
        <v>3.4</v>
      </c>
      <c r="AN159">
        <v>4</v>
      </c>
      <c r="AO159">
        <v>1.8</v>
      </c>
      <c r="AP159">
        <v>3.4</v>
      </c>
      <c r="AQ159">
        <v>4.5</v>
      </c>
      <c r="AR159">
        <v>1.87</v>
      </c>
      <c r="AS159">
        <v>3.6</v>
      </c>
      <c r="AT159">
        <v>4.75</v>
      </c>
      <c r="AU159">
        <v>37</v>
      </c>
      <c r="AV159">
        <v>1.91</v>
      </c>
      <c r="AW159">
        <v>1.83</v>
      </c>
      <c r="AX159">
        <v>3.65</v>
      </c>
      <c r="AY159">
        <v>3.47</v>
      </c>
      <c r="AZ159">
        <v>4.82</v>
      </c>
      <c r="BA159">
        <v>4.41</v>
      </c>
      <c r="BB159">
        <v>35</v>
      </c>
      <c r="BC159">
        <v>2.0699999999999998</v>
      </c>
      <c r="BD159">
        <v>1.99</v>
      </c>
      <c r="BE159">
        <v>1.88</v>
      </c>
      <c r="BF159">
        <v>1.8</v>
      </c>
      <c r="BG159">
        <v>18</v>
      </c>
      <c r="BH159">
        <v>-0.5</v>
      </c>
      <c r="BI159">
        <v>1.85</v>
      </c>
      <c r="BJ159">
        <v>1.82</v>
      </c>
      <c r="BK159">
        <v>2.1</v>
      </c>
      <c r="BL159">
        <v>2.0499999999999998</v>
      </c>
      <c r="BM159">
        <v>1.83</v>
      </c>
      <c r="BN159">
        <v>3.74</v>
      </c>
      <c r="BO159">
        <v>4.8099999999999996</v>
      </c>
    </row>
    <row r="160" spans="1:67">
      <c r="A160" t="s">
        <v>63</v>
      </c>
      <c r="B160" s="77">
        <v>41623</v>
      </c>
      <c r="C160" t="s">
        <v>76</v>
      </c>
      <c r="D160" t="s">
        <v>83</v>
      </c>
      <c r="E160">
        <v>0</v>
      </c>
      <c r="F160">
        <v>2</v>
      </c>
      <c r="G160" t="s">
        <v>66</v>
      </c>
      <c r="H160">
        <v>0</v>
      </c>
      <c r="I160">
        <v>0</v>
      </c>
      <c r="J160" t="s">
        <v>67</v>
      </c>
      <c r="K160">
        <v>20</v>
      </c>
      <c r="L160">
        <v>7</v>
      </c>
      <c r="M160">
        <v>3</v>
      </c>
      <c r="N160">
        <v>3</v>
      </c>
      <c r="O160">
        <v>12</v>
      </c>
      <c r="P160">
        <v>13</v>
      </c>
      <c r="Q160">
        <v>6</v>
      </c>
      <c r="R160">
        <v>2</v>
      </c>
      <c r="S160">
        <v>2</v>
      </c>
      <c r="T160">
        <v>3</v>
      </c>
      <c r="U160">
        <v>0</v>
      </c>
      <c r="V160">
        <v>0</v>
      </c>
      <c r="W160">
        <v>1.91</v>
      </c>
      <c r="X160">
        <v>3.4</v>
      </c>
      <c r="Y160">
        <v>4</v>
      </c>
      <c r="Z160">
        <v>1.95</v>
      </c>
      <c r="AA160">
        <v>3.3</v>
      </c>
      <c r="AB160">
        <v>4</v>
      </c>
      <c r="AC160">
        <v>1.9</v>
      </c>
      <c r="AD160">
        <v>3.35</v>
      </c>
      <c r="AE160">
        <v>3.9</v>
      </c>
      <c r="AF160">
        <v>1.9</v>
      </c>
      <c r="AG160">
        <v>3.4</v>
      </c>
      <c r="AH160">
        <v>4</v>
      </c>
      <c r="AI160">
        <v>1.95</v>
      </c>
      <c r="AJ160">
        <v>3.48</v>
      </c>
      <c r="AK160">
        <v>4.54</v>
      </c>
      <c r="AL160">
        <v>2</v>
      </c>
      <c r="AM160">
        <v>3.2</v>
      </c>
      <c r="AN160">
        <v>4</v>
      </c>
      <c r="AO160">
        <v>1.95</v>
      </c>
      <c r="AP160">
        <v>3.3</v>
      </c>
      <c r="AQ160">
        <v>3.8</v>
      </c>
      <c r="AR160">
        <v>1.95</v>
      </c>
      <c r="AS160">
        <v>3.4</v>
      </c>
      <c r="AT160">
        <v>4.5</v>
      </c>
      <c r="AU160">
        <v>37</v>
      </c>
      <c r="AV160">
        <v>2</v>
      </c>
      <c r="AW160">
        <v>1.92</v>
      </c>
      <c r="AX160">
        <v>3.48</v>
      </c>
      <c r="AY160">
        <v>3.34</v>
      </c>
      <c r="AZ160">
        <v>4.54</v>
      </c>
      <c r="BA160">
        <v>4.13</v>
      </c>
      <c r="BB160">
        <v>35</v>
      </c>
      <c r="BC160">
        <v>2.2000000000000002</v>
      </c>
      <c r="BD160">
        <v>2.1</v>
      </c>
      <c r="BE160">
        <v>1.79</v>
      </c>
      <c r="BF160">
        <v>1.71</v>
      </c>
      <c r="BG160">
        <v>18</v>
      </c>
      <c r="BH160">
        <v>-0.5</v>
      </c>
      <c r="BI160">
        <v>1.95</v>
      </c>
      <c r="BJ160">
        <v>1.91</v>
      </c>
      <c r="BK160">
        <v>2</v>
      </c>
      <c r="BL160">
        <v>1.94</v>
      </c>
      <c r="BM160">
        <v>1.98</v>
      </c>
      <c r="BN160">
        <v>3.48</v>
      </c>
      <c r="BO160">
        <v>4.3099999999999996</v>
      </c>
    </row>
    <row r="161" spans="1:67">
      <c r="A161" t="s">
        <v>63</v>
      </c>
      <c r="B161" s="77">
        <v>41624</v>
      </c>
      <c r="C161" t="s">
        <v>69</v>
      </c>
      <c r="D161" t="s">
        <v>78</v>
      </c>
      <c r="E161">
        <v>2</v>
      </c>
      <c r="F161">
        <v>2</v>
      </c>
      <c r="G161" t="s">
        <v>67</v>
      </c>
      <c r="H161">
        <v>1</v>
      </c>
      <c r="I161">
        <v>1</v>
      </c>
      <c r="J161" t="s">
        <v>67</v>
      </c>
      <c r="K161">
        <v>11</v>
      </c>
      <c r="L161">
        <v>14</v>
      </c>
      <c r="M161">
        <v>4</v>
      </c>
      <c r="N161">
        <v>4</v>
      </c>
      <c r="O161">
        <v>13</v>
      </c>
      <c r="P161">
        <v>13</v>
      </c>
      <c r="Q161">
        <v>4</v>
      </c>
      <c r="R161">
        <v>7</v>
      </c>
      <c r="S161">
        <v>4</v>
      </c>
      <c r="T161">
        <v>2</v>
      </c>
      <c r="U161">
        <v>0</v>
      </c>
      <c r="V161">
        <v>0</v>
      </c>
      <c r="W161">
        <v>2.2999999999999998</v>
      </c>
      <c r="X161">
        <v>3.3</v>
      </c>
      <c r="Y161">
        <v>3.1</v>
      </c>
      <c r="Z161">
        <v>2.35</v>
      </c>
      <c r="AA161">
        <v>3.3</v>
      </c>
      <c r="AB161">
        <v>3</v>
      </c>
      <c r="AC161">
        <v>2.2000000000000002</v>
      </c>
      <c r="AD161">
        <v>3.25</v>
      </c>
      <c r="AE161">
        <v>3.15</v>
      </c>
      <c r="AF161">
        <v>2.2999999999999998</v>
      </c>
      <c r="AG161">
        <v>3.3</v>
      </c>
      <c r="AH161">
        <v>3</v>
      </c>
      <c r="AI161">
        <v>2.31</v>
      </c>
      <c r="AJ161">
        <v>3.47</v>
      </c>
      <c r="AK161">
        <v>3.35</v>
      </c>
      <c r="AL161">
        <v>2.38</v>
      </c>
      <c r="AM161">
        <v>3.2</v>
      </c>
      <c r="AN161">
        <v>3</v>
      </c>
      <c r="AO161">
        <v>2.25</v>
      </c>
      <c r="AP161">
        <v>3.25</v>
      </c>
      <c r="AQ161">
        <v>3</v>
      </c>
      <c r="AR161">
        <v>2.2999999999999998</v>
      </c>
      <c r="AS161">
        <v>3.4</v>
      </c>
      <c r="AT161">
        <v>3.3</v>
      </c>
      <c r="AU161">
        <v>37</v>
      </c>
      <c r="AV161">
        <v>2.38</v>
      </c>
      <c r="AW161">
        <v>2.27</v>
      </c>
      <c r="AX161">
        <v>3.47</v>
      </c>
      <c r="AY161">
        <v>3.3</v>
      </c>
      <c r="AZ161">
        <v>3.35</v>
      </c>
      <c r="BA161">
        <v>3.11</v>
      </c>
      <c r="BB161">
        <v>33</v>
      </c>
      <c r="BC161">
        <v>2.09</v>
      </c>
      <c r="BD161">
        <v>1.98</v>
      </c>
      <c r="BE161">
        <v>1.9</v>
      </c>
      <c r="BF161">
        <v>1.8</v>
      </c>
      <c r="BG161">
        <v>17</v>
      </c>
      <c r="BH161">
        <v>0</v>
      </c>
      <c r="BI161">
        <v>1.68</v>
      </c>
      <c r="BJ161">
        <v>1.62</v>
      </c>
      <c r="BK161">
        <v>2.46</v>
      </c>
      <c r="BL161">
        <v>2.31</v>
      </c>
      <c r="BM161">
        <v>2.36</v>
      </c>
      <c r="BN161">
        <v>3.32</v>
      </c>
      <c r="BO161">
        <v>3.37</v>
      </c>
    </row>
    <row r="162" spans="1:67">
      <c r="A162" t="s">
        <v>63</v>
      </c>
      <c r="B162" s="77">
        <v>41629</v>
      </c>
      <c r="C162" t="s">
        <v>71</v>
      </c>
      <c r="D162" t="s">
        <v>79</v>
      </c>
      <c r="E162">
        <v>1</v>
      </c>
      <c r="F162">
        <v>1</v>
      </c>
      <c r="G162" t="s">
        <v>67</v>
      </c>
      <c r="H162">
        <v>1</v>
      </c>
      <c r="I162">
        <v>1</v>
      </c>
      <c r="J162" t="s">
        <v>67</v>
      </c>
      <c r="K162">
        <v>10</v>
      </c>
      <c r="L162">
        <v>10</v>
      </c>
      <c r="M162">
        <v>4</v>
      </c>
      <c r="N162">
        <v>2</v>
      </c>
      <c r="O162">
        <v>13</v>
      </c>
      <c r="P162">
        <v>14</v>
      </c>
      <c r="Q162">
        <v>4</v>
      </c>
      <c r="R162">
        <v>6</v>
      </c>
      <c r="S162">
        <v>2</v>
      </c>
      <c r="T162">
        <v>2</v>
      </c>
      <c r="U162">
        <v>0</v>
      </c>
      <c r="V162">
        <v>0</v>
      </c>
      <c r="W162">
        <v>3.5</v>
      </c>
      <c r="X162">
        <v>3.4</v>
      </c>
      <c r="Y162">
        <v>2.0499999999999998</v>
      </c>
      <c r="Z162">
        <v>3.8</v>
      </c>
      <c r="AA162">
        <v>3.5</v>
      </c>
      <c r="AB162">
        <v>1.95</v>
      </c>
      <c r="AC162">
        <v>3.6</v>
      </c>
      <c r="AD162">
        <v>3.3</v>
      </c>
      <c r="AE162">
        <v>2</v>
      </c>
      <c r="AF162">
        <v>3.75</v>
      </c>
      <c r="AG162">
        <v>3.5</v>
      </c>
      <c r="AH162">
        <v>1.9</v>
      </c>
      <c r="AI162">
        <v>3.78</v>
      </c>
      <c r="AJ162">
        <v>3.48</v>
      </c>
      <c r="AK162">
        <v>2.13</v>
      </c>
      <c r="AL162">
        <v>3.6</v>
      </c>
      <c r="AM162">
        <v>3.2</v>
      </c>
      <c r="AN162">
        <v>2.1</v>
      </c>
      <c r="AO162">
        <v>3.5</v>
      </c>
      <c r="AP162">
        <v>3.3</v>
      </c>
      <c r="AQ162">
        <v>2</v>
      </c>
      <c r="AR162">
        <v>3.8</v>
      </c>
      <c r="AS162">
        <v>3.5</v>
      </c>
      <c r="AT162">
        <v>2.0499999999999998</v>
      </c>
      <c r="AU162">
        <v>37</v>
      </c>
      <c r="AV162">
        <v>3.8</v>
      </c>
      <c r="AW162">
        <v>3.58</v>
      </c>
      <c r="AX162">
        <v>3.58</v>
      </c>
      <c r="AY162">
        <v>3.38</v>
      </c>
      <c r="AZ162">
        <v>2.15</v>
      </c>
      <c r="BA162">
        <v>2.06</v>
      </c>
      <c r="BB162">
        <v>36</v>
      </c>
      <c r="BC162">
        <v>1.92</v>
      </c>
      <c r="BD162">
        <v>1.83</v>
      </c>
      <c r="BE162">
        <v>2.0299999999999998</v>
      </c>
      <c r="BF162">
        <v>1.95</v>
      </c>
      <c r="BG162">
        <v>17</v>
      </c>
      <c r="BH162">
        <v>0.5</v>
      </c>
      <c r="BI162">
        <v>1.86</v>
      </c>
      <c r="BJ162">
        <v>1.8</v>
      </c>
      <c r="BK162">
        <v>2.16</v>
      </c>
      <c r="BL162">
        <v>2.08</v>
      </c>
      <c r="BM162">
        <v>4.04</v>
      </c>
      <c r="BN162">
        <v>3.6</v>
      </c>
      <c r="BO162">
        <v>2.02</v>
      </c>
    </row>
    <row r="163" spans="1:67">
      <c r="A163" t="s">
        <v>63</v>
      </c>
      <c r="B163" s="77">
        <v>41629</v>
      </c>
      <c r="C163" t="s">
        <v>77</v>
      </c>
      <c r="D163" t="s">
        <v>76</v>
      </c>
      <c r="E163">
        <v>1</v>
      </c>
      <c r="F163">
        <v>2</v>
      </c>
      <c r="G163" t="s">
        <v>66</v>
      </c>
      <c r="H163">
        <v>1</v>
      </c>
      <c r="I163">
        <v>1</v>
      </c>
      <c r="J163" t="s">
        <v>67</v>
      </c>
      <c r="K163">
        <v>14</v>
      </c>
      <c r="L163">
        <v>14</v>
      </c>
      <c r="M163">
        <v>4</v>
      </c>
      <c r="N163">
        <v>4</v>
      </c>
      <c r="O163">
        <v>11</v>
      </c>
      <c r="P163">
        <v>20</v>
      </c>
      <c r="Q163">
        <v>3</v>
      </c>
      <c r="R163">
        <v>4</v>
      </c>
      <c r="S163">
        <v>3</v>
      </c>
      <c r="T163">
        <v>2</v>
      </c>
      <c r="U163">
        <v>0</v>
      </c>
      <c r="V163">
        <v>0</v>
      </c>
      <c r="W163">
        <v>3.1</v>
      </c>
      <c r="X163">
        <v>3.1</v>
      </c>
      <c r="Y163">
        <v>2.4</v>
      </c>
      <c r="Z163">
        <v>3.1</v>
      </c>
      <c r="AA163">
        <v>3.1</v>
      </c>
      <c r="AB163">
        <v>2.4</v>
      </c>
      <c r="AC163">
        <v>2.85</v>
      </c>
      <c r="AD163">
        <v>3.2</v>
      </c>
      <c r="AE163">
        <v>2.4</v>
      </c>
      <c r="AF163">
        <v>3</v>
      </c>
      <c r="AG163">
        <v>3.2</v>
      </c>
      <c r="AH163">
        <v>2.4</v>
      </c>
      <c r="AI163">
        <v>3.17</v>
      </c>
      <c r="AJ163">
        <v>3.2</v>
      </c>
      <c r="AK163">
        <v>2.5499999999999998</v>
      </c>
      <c r="AL163">
        <v>2.9</v>
      </c>
      <c r="AM163">
        <v>3.1</v>
      </c>
      <c r="AN163">
        <v>2.5</v>
      </c>
      <c r="AO163">
        <v>3</v>
      </c>
      <c r="AP163">
        <v>3.13</v>
      </c>
      <c r="AQ163">
        <v>2.38</v>
      </c>
      <c r="AR163">
        <v>3.2</v>
      </c>
      <c r="AS163">
        <v>3.2</v>
      </c>
      <c r="AT163">
        <v>2.5</v>
      </c>
      <c r="AU163">
        <v>37</v>
      </c>
      <c r="AV163">
        <v>3.25</v>
      </c>
      <c r="AW163">
        <v>3.05</v>
      </c>
      <c r="AX163">
        <v>3.25</v>
      </c>
      <c r="AY163">
        <v>3.13</v>
      </c>
      <c r="AZ163">
        <v>2.5499999999999998</v>
      </c>
      <c r="BA163">
        <v>2.42</v>
      </c>
      <c r="BB163">
        <v>32</v>
      </c>
      <c r="BC163">
        <v>2.5499999999999998</v>
      </c>
      <c r="BD163">
        <v>2.4</v>
      </c>
      <c r="BE163">
        <v>1.6</v>
      </c>
      <c r="BF163">
        <v>1.54</v>
      </c>
      <c r="BG163">
        <v>17</v>
      </c>
      <c r="BH163">
        <v>0.25</v>
      </c>
      <c r="BI163">
        <v>1.84</v>
      </c>
      <c r="BJ163">
        <v>1.79</v>
      </c>
      <c r="BK163">
        <v>2.16</v>
      </c>
      <c r="BL163">
        <v>2.09</v>
      </c>
      <c r="BM163">
        <v>2.99</v>
      </c>
      <c r="BN163">
        <v>3.3</v>
      </c>
      <c r="BO163">
        <v>2.61</v>
      </c>
    </row>
    <row r="164" spans="1:67">
      <c r="A164" t="s">
        <v>63</v>
      </c>
      <c r="B164" s="77">
        <v>41630</v>
      </c>
      <c r="C164" t="s">
        <v>72</v>
      </c>
      <c r="D164" t="s">
        <v>65</v>
      </c>
      <c r="E164">
        <v>1</v>
      </c>
      <c r="F164">
        <v>4</v>
      </c>
      <c r="G164" t="s">
        <v>66</v>
      </c>
      <c r="H164">
        <v>1</v>
      </c>
      <c r="I164">
        <v>1</v>
      </c>
      <c r="J164" t="s">
        <v>67</v>
      </c>
      <c r="K164">
        <v>7</v>
      </c>
      <c r="L164">
        <v>16</v>
      </c>
      <c r="M164">
        <v>3</v>
      </c>
      <c r="N164">
        <v>4</v>
      </c>
      <c r="O164">
        <v>14</v>
      </c>
      <c r="P164">
        <v>16</v>
      </c>
      <c r="Q164">
        <v>1</v>
      </c>
      <c r="R164">
        <v>4</v>
      </c>
      <c r="S164">
        <v>1</v>
      </c>
      <c r="T164">
        <v>2</v>
      </c>
      <c r="U164">
        <v>0</v>
      </c>
      <c r="V164">
        <v>0</v>
      </c>
      <c r="W164">
        <v>7.5</v>
      </c>
      <c r="X164">
        <v>4.2</v>
      </c>
      <c r="Y164">
        <v>1.44</v>
      </c>
      <c r="Z164">
        <v>7.25</v>
      </c>
      <c r="AA164">
        <v>4.2</v>
      </c>
      <c r="AB164">
        <v>1.45</v>
      </c>
      <c r="AC164">
        <v>7.3</v>
      </c>
      <c r="AD164">
        <v>4.4000000000000004</v>
      </c>
      <c r="AE164">
        <v>1.4</v>
      </c>
      <c r="AF164">
        <v>7</v>
      </c>
      <c r="AG164">
        <v>4.33</v>
      </c>
      <c r="AH164">
        <v>1.44</v>
      </c>
      <c r="AI164">
        <v>8.39</v>
      </c>
      <c r="AJ164">
        <v>4.21</v>
      </c>
      <c r="AK164">
        <v>1.51</v>
      </c>
      <c r="AL164">
        <v>7.5</v>
      </c>
      <c r="AM164">
        <v>4.2</v>
      </c>
      <c r="AN164">
        <v>1.44</v>
      </c>
      <c r="AO164">
        <v>7.5</v>
      </c>
      <c r="AP164">
        <v>4</v>
      </c>
      <c r="AQ164">
        <v>1.44</v>
      </c>
      <c r="AR164">
        <v>8.5</v>
      </c>
      <c r="AS164">
        <v>4.2</v>
      </c>
      <c r="AT164">
        <v>1.45</v>
      </c>
      <c r="AU164">
        <v>37</v>
      </c>
      <c r="AV164">
        <v>8.67</v>
      </c>
      <c r="AW164">
        <v>7.73</v>
      </c>
      <c r="AX164">
        <v>4.4000000000000004</v>
      </c>
      <c r="AY164">
        <v>4.17</v>
      </c>
      <c r="AZ164">
        <v>1.51</v>
      </c>
      <c r="BA164">
        <v>1.44</v>
      </c>
      <c r="BB164">
        <v>36</v>
      </c>
      <c r="BC164">
        <v>2</v>
      </c>
      <c r="BD164">
        <v>1.92</v>
      </c>
      <c r="BE164">
        <v>1.95</v>
      </c>
      <c r="BF164">
        <v>1.86</v>
      </c>
      <c r="BG164">
        <v>17</v>
      </c>
      <c r="BH164">
        <v>1.25</v>
      </c>
      <c r="BI164">
        <v>1.85</v>
      </c>
      <c r="BJ164">
        <v>1.81</v>
      </c>
      <c r="BK164">
        <v>2.14</v>
      </c>
      <c r="BL164">
        <v>2.0499999999999998</v>
      </c>
      <c r="BM164">
        <v>11.01</v>
      </c>
      <c r="BN164">
        <v>4.26</v>
      </c>
      <c r="BO164">
        <v>1.36</v>
      </c>
    </row>
    <row r="165" spans="1:67">
      <c r="A165" t="s">
        <v>63</v>
      </c>
      <c r="B165" s="77">
        <v>41630</v>
      </c>
      <c r="C165" t="s">
        <v>80</v>
      </c>
      <c r="D165" t="s">
        <v>74</v>
      </c>
      <c r="E165">
        <v>1</v>
      </c>
      <c r="F165">
        <v>0</v>
      </c>
      <c r="G165" t="s">
        <v>70</v>
      </c>
      <c r="H165">
        <v>0</v>
      </c>
      <c r="I165">
        <v>0</v>
      </c>
      <c r="J165" t="s">
        <v>67</v>
      </c>
      <c r="K165">
        <v>19</v>
      </c>
      <c r="L165">
        <v>5</v>
      </c>
      <c r="M165">
        <v>3</v>
      </c>
      <c r="N165">
        <v>1</v>
      </c>
      <c r="O165">
        <v>23</v>
      </c>
      <c r="P165">
        <v>21</v>
      </c>
      <c r="Q165">
        <v>8</v>
      </c>
      <c r="R165">
        <v>4</v>
      </c>
      <c r="S165">
        <v>5</v>
      </c>
      <c r="T165">
        <v>1</v>
      </c>
      <c r="U165">
        <v>0</v>
      </c>
      <c r="V165">
        <v>0</v>
      </c>
      <c r="W165">
        <v>2.1</v>
      </c>
      <c r="X165">
        <v>3.25</v>
      </c>
      <c r="Y165">
        <v>3.5</v>
      </c>
      <c r="Z165">
        <v>2.0499999999999998</v>
      </c>
      <c r="AA165">
        <v>3.25</v>
      </c>
      <c r="AB165">
        <v>3.7</v>
      </c>
      <c r="AC165">
        <v>2</v>
      </c>
      <c r="AD165">
        <v>3.3</v>
      </c>
      <c r="AE165">
        <v>3.6</v>
      </c>
      <c r="AF165">
        <v>2.15</v>
      </c>
      <c r="AG165">
        <v>3.25</v>
      </c>
      <c r="AH165">
        <v>3.4</v>
      </c>
      <c r="AI165">
        <v>2.11</v>
      </c>
      <c r="AJ165">
        <v>3.36</v>
      </c>
      <c r="AK165">
        <v>4.01</v>
      </c>
      <c r="AL165">
        <v>2.15</v>
      </c>
      <c r="AM165">
        <v>3.2</v>
      </c>
      <c r="AN165">
        <v>3.5</v>
      </c>
      <c r="AO165">
        <v>2.0499999999999998</v>
      </c>
      <c r="AP165">
        <v>3.2</v>
      </c>
      <c r="AQ165">
        <v>3.6</v>
      </c>
      <c r="AR165">
        <v>2.15</v>
      </c>
      <c r="AS165">
        <v>3.3</v>
      </c>
      <c r="AT165">
        <v>3.9</v>
      </c>
      <c r="AU165">
        <v>37</v>
      </c>
      <c r="AV165">
        <v>2.2000000000000002</v>
      </c>
      <c r="AW165">
        <v>2.1</v>
      </c>
      <c r="AX165">
        <v>3.36</v>
      </c>
      <c r="AY165">
        <v>3.22</v>
      </c>
      <c r="AZ165">
        <v>4.01</v>
      </c>
      <c r="BA165">
        <v>3.66</v>
      </c>
      <c r="BB165">
        <v>34</v>
      </c>
      <c r="BC165">
        <v>2.4300000000000002</v>
      </c>
      <c r="BD165">
        <v>2.2999999999999998</v>
      </c>
      <c r="BE165">
        <v>1.65</v>
      </c>
      <c r="BF165">
        <v>1.59</v>
      </c>
      <c r="BG165">
        <v>17</v>
      </c>
      <c r="BH165">
        <v>-0.5</v>
      </c>
      <c r="BI165">
        <v>2.15</v>
      </c>
      <c r="BJ165">
        <v>2.09</v>
      </c>
      <c r="BK165">
        <v>1.83</v>
      </c>
      <c r="BL165">
        <v>1.79</v>
      </c>
      <c r="BM165">
        <v>2.15</v>
      </c>
      <c r="BN165">
        <v>3.26</v>
      </c>
      <c r="BO165">
        <v>4.03</v>
      </c>
    </row>
    <row r="166" spans="1:67">
      <c r="A166" t="s">
        <v>63</v>
      </c>
      <c r="B166" s="77">
        <v>41630</v>
      </c>
      <c r="C166" t="s">
        <v>73</v>
      </c>
      <c r="D166" t="s">
        <v>69</v>
      </c>
      <c r="E166">
        <v>1</v>
      </c>
      <c r="F166">
        <v>0</v>
      </c>
      <c r="G166" t="s">
        <v>70</v>
      </c>
      <c r="H166">
        <v>0</v>
      </c>
      <c r="I166">
        <v>0</v>
      </c>
      <c r="J166" t="s">
        <v>67</v>
      </c>
      <c r="K166">
        <v>15</v>
      </c>
      <c r="L166">
        <v>18</v>
      </c>
      <c r="M166">
        <v>7</v>
      </c>
      <c r="N166">
        <v>5</v>
      </c>
      <c r="O166">
        <v>13</v>
      </c>
      <c r="P166">
        <v>15</v>
      </c>
      <c r="Q166">
        <v>5</v>
      </c>
      <c r="R166">
        <v>7</v>
      </c>
      <c r="S166">
        <v>3</v>
      </c>
      <c r="T166">
        <v>4</v>
      </c>
      <c r="U166">
        <v>0</v>
      </c>
      <c r="V166">
        <v>1</v>
      </c>
      <c r="W166">
        <v>2.63</v>
      </c>
      <c r="X166">
        <v>3.3</v>
      </c>
      <c r="Y166">
        <v>2.63</v>
      </c>
      <c r="Z166">
        <v>2.5</v>
      </c>
      <c r="AA166">
        <v>3.3</v>
      </c>
      <c r="AB166">
        <v>2.75</v>
      </c>
      <c r="AC166">
        <v>2.5</v>
      </c>
      <c r="AD166">
        <v>3.3</v>
      </c>
      <c r="AE166">
        <v>2.65</v>
      </c>
      <c r="AF166">
        <v>2.5</v>
      </c>
      <c r="AG166">
        <v>3.3</v>
      </c>
      <c r="AH166">
        <v>2.75</v>
      </c>
      <c r="AI166">
        <v>2.83</v>
      </c>
      <c r="AJ166">
        <v>3.38</v>
      </c>
      <c r="AK166">
        <v>2.69</v>
      </c>
      <c r="AL166">
        <v>2.7</v>
      </c>
      <c r="AM166">
        <v>3.1</v>
      </c>
      <c r="AN166">
        <v>2.7</v>
      </c>
      <c r="AO166">
        <v>2.6</v>
      </c>
      <c r="AP166">
        <v>3.25</v>
      </c>
      <c r="AQ166">
        <v>2.6</v>
      </c>
      <c r="AR166">
        <v>2.75</v>
      </c>
      <c r="AS166">
        <v>3.3</v>
      </c>
      <c r="AT166">
        <v>2.62</v>
      </c>
      <c r="AU166">
        <v>37</v>
      </c>
      <c r="AV166">
        <v>2.83</v>
      </c>
      <c r="AW166">
        <v>2.65</v>
      </c>
      <c r="AX166">
        <v>3.42</v>
      </c>
      <c r="AY166">
        <v>3.27</v>
      </c>
      <c r="AZ166">
        <v>2.76</v>
      </c>
      <c r="BA166">
        <v>2.65</v>
      </c>
      <c r="BB166">
        <v>36</v>
      </c>
      <c r="BC166">
        <v>1.9</v>
      </c>
      <c r="BD166">
        <v>1.77</v>
      </c>
      <c r="BE166">
        <v>2.12</v>
      </c>
      <c r="BF166">
        <v>2.02</v>
      </c>
      <c r="BG166">
        <v>17</v>
      </c>
      <c r="BH166">
        <v>0</v>
      </c>
      <c r="BI166">
        <v>2.0299999999999998</v>
      </c>
      <c r="BJ166">
        <v>1.93</v>
      </c>
      <c r="BK166">
        <v>1.99</v>
      </c>
      <c r="BL166">
        <v>1.91</v>
      </c>
      <c r="BM166">
        <v>2.74</v>
      </c>
      <c r="BN166">
        <v>3.28</v>
      </c>
      <c r="BO166">
        <v>2.86</v>
      </c>
    </row>
    <row r="167" spans="1:67">
      <c r="A167" t="s">
        <v>63</v>
      </c>
      <c r="B167" s="77">
        <v>41630</v>
      </c>
      <c r="C167" t="s">
        <v>78</v>
      </c>
      <c r="D167" t="s">
        <v>86</v>
      </c>
      <c r="E167">
        <v>4</v>
      </c>
      <c r="F167">
        <v>0</v>
      </c>
      <c r="G167" t="s">
        <v>70</v>
      </c>
      <c r="H167">
        <v>1</v>
      </c>
      <c r="I167">
        <v>0</v>
      </c>
      <c r="J167" t="s">
        <v>70</v>
      </c>
      <c r="K167">
        <v>21</v>
      </c>
      <c r="L167">
        <v>10</v>
      </c>
      <c r="M167">
        <v>10</v>
      </c>
      <c r="N167">
        <v>1</v>
      </c>
      <c r="O167">
        <v>11</v>
      </c>
      <c r="P167">
        <v>19</v>
      </c>
      <c r="Q167">
        <v>9</v>
      </c>
      <c r="R167">
        <v>3</v>
      </c>
      <c r="S167">
        <v>1</v>
      </c>
      <c r="T167">
        <v>4</v>
      </c>
      <c r="U167">
        <v>0</v>
      </c>
      <c r="V167">
        <v>0</v>
      </c>
      <c r="W167">
        <v>1.22</v>
      </c>
      <c r="X167">
        <v>6.5</v>
      </c>
      <c r="Y167">
        <v>11</v>
      </c>
      <c r="Z167">
        <v>1.25</v>
      </c>
      <c r="AA167">
        <v>5.5</v>
      </c>
      <c r="AB167">
        <v>11.5</v>
      </c>
      <c r="AC167">
        <v>1.25</v>
      </c>
      <c r="AD167">
        <v>6</v>
      </c>
      <c r="AE167">
        <v>9</v>
      </c>
      <c r="AF167">
        <v>1.22</v>
      </c>
      <c r="AG167">
        <v>6</v>
      </c>
      <c r="AH167">
        <v>13</v>
      </c>
      <c r="AI167">
        <v>1.25</v>
      </c>
      <c r="AJ167">
        <v>6.35</v>
      </c>
      <c r="AK167">
        <v>15.5</v>
      </c>
      <c r="AL167">
        <v>1.25</v>
      </c>
      <c r="AM167">
        <v>5.5</v>
      </c>
      <c r="AN167">
        <v>13</v>
      </c>
      <c r="AO167">
        <v>1.22</v>
      </c>
      <c r="AP167">
        <v>5.75</v>
      </c>
      <c r="AQ167">
        <v>11</v>
      </c>
      <c r="AR167">
        <v>1.25</v>
      </c>
      <c r="AS167">
        <v>6.5</v>
      </c>
      <c r="AT167">
        <v>15</v>
      </c>
      <c r="AU167">
        <v>36</v>
      </c>
      <c r="AV167">
        <v>1.27</v>
      </c>
      <c r="AW167">
        <v>1.24</v>
      </c>
      <c r="AX167">
        <v>6.5</v>
      </c>
      <c r="AY167">
        <v>5.92</v>
      </c>
      <c r="AZ167">
        <v>15.5</v>
      </c>
      <c r="BA167">
        <v>12.15</v>
      </c>
      <c r="BB167">
        <v>28</v>
      </c>
      <c r="BC167">
        <v>1.65</v>
      </c>
      <c r="BD167">
        <v>1.59</v>
      </c>
      <c r="BE167">
        <v>2.4</v>
      </c>
      <c r="BF167">
        <v>2.27</v>
      </c>
      <c r="BG167">
        <v>18</v>
      </c>
      <c r="BH167">
        <v>-1.5</v>
      </c>
      <c r="BI167">
        <v>1.79</v>
      </c>
      <c r="BJ167">
        <v>1.74</v>
      </c>
      <c r="BK167">
        <v>2.2000000000000002</v>
      </c>
      <c r="BL167">
        <v>2.14</v>
      </c>
      <c r="BM167">
        <v>1.1599999999999999</v>
      </c>
      <c r="BN167">
        <v>6.91</v>
      </c>
      <c r="BO167">
        <v>21.26</v>
      </c>
    </row>
    <row r="168" spans="1:67">
      <c r="A168" t="s">
        <v>63</v>
      </c>
      <c r="B168" s="77">
        <v>41630</v>
      </c>
      <c r="C168" t="s">
        <v>64</v>
      </c>
      <c r="D168" t="s">
        <v>81</v>
      </c>
      <c r="E168">
        <v>1</v>
      </c>
      <c r="F168">
        <v>1</v>
      </c>
      <c r="G168" t="s">
        <v>67</v>
      </c>
      <c r="H168">
        <v>1</v>
      </c>
      <c r="I168">
        <v>0</v>
      </c>
      <c r="J168" t="s">
        <v>70</v>
      </c>
      <c r="K168">
        <v>8</v>
      </c>
      <c r="L168">
        <v>15</v>
      </c>
      <c r="M168">
        <v>3</v>
      </c>
      <c r="N168">
        <v>5</v>
      </c>
      <c r="O168">
        <v>16</v>
      </c>
      <c r="P168">
        <v>18</v>
      </c>
      <c r="Q168">
        <v>4</v>
      </c>
      <c r="R168">
        <v>4</v>
      </c>
      <c r="S168">
        <v>2</v>
      </c>
      <c r="T168">
        <v>4</v>
      </c>
      <c r="U168">
        <v>0</v>
      </c>
      <c r="V168">
        <v>0</v>
      </c>
      <c r="W168">
        <v>2.5</v>
      </c>
      <c r="X168">
        <v>3.2</v>
      </c>
      <c r="Y168">
        <v>2.88</v>
      </c>
      <c r="Z168">
        <v>2.5499999999999998</v>
      </c>
      <c r="AA168">
        <v>3.1</v>
      </c>
      <c r="AB168">
        <v>2.85</v>
      </c>
      <c r="AC168">
        <v>2.35</v>
      </c>
      <c r="AD168">
        <v>3.2</v>
      </c>
      <c r="AE168">
        <v>2.95</v>
      </c>
      <c r="AF168">
        <v>2.4</v>
      </c>
      <c r="AG168">
        <v>3.25</v>
      </c>
      <c r="AH168">
        <v>2.9</v>
      </c>
      <c r="AI168">
        <v>2.57</v>
      </c>
      <c r="AJ168">
        <v>3.17</v>
      </c>
      <c r="AK168">
        <v>3.17</v>
      </c>
      <c r="AL168">
        <v>2.6</v>
      </c>
      <c r="AM168">
        <v>3.1</v>
      </c>
      <c r="AN168">
        <v>2.8</v>
      </c>
      <c r="AO168">
        <v>2.4</v>
      </c>
      <c r="AP168">
        <v>3.13</v>
      </c>
      <c r="AQ168">
        <v>2.88</v>
      </c>
      <c r="AR168">
        <v>2.5499999999999998</v>
      </c>
      <c r="AS168">
        <v>3.2</v>
      </c>
      <c r="AT168">
        <v>3.1</v>
      </c>
      <c r="AU168">
        <v>37</v>
      </c>
      <c r="AV168">
        <v>2.62</v>
      </c>
      <c r="AW168">
        <v>2.5</v>
      </c>
      <c r="AX168">
        <v>3.25</v>
      </c>
      <c r="AY168">
        <v>3.11</v>
      </c>
      <c r="AZ168">
        <v>3.17</v>
      </c>
      <c r="BA168">
        <v>2.95</v>
      </c>
      <c r="BB168">
        <v>36</v>
      </c>
      <c r="BC168">
        <v>2.4300000000000002</v>
      </c>
      <c r="BD168">
        <v>2.31</v>
      </c>
      <c r="BE168">
        <v>1.65</v>
      </c>
      <c r="BF168">
        <v>1.59</v>
      </c>
      <c r="BG168">
        <v>17</v>
      </c>
      <c r="BH168">
        <v>-0.25</v>
      </c>
      <c r="BI168">
        <v>2.2000000000000002</v>
      </c>
      <c r="BJ168">
        <v>2.13</v>
      </c>
      <c r="BK168">
        <v>1.79</v>
      </c>
      <c r="BL168">
        <v>1.74</v>
      </c>
      <c r="BM168">
        <v>2.66</v>
      </c>
      <c r="BN168">
        <v>2.97</v>
      </c>
      <c r="BO168">
        <v>2.95</v>
      </c>
    </row>
    <row r="169" spans="1:67">
      <c r="A169" t="s">
        <v>63</v>
      </c>
      <c r="B169" s="77">
        <v>41630</v>
      </c>
      <c r="C169" t="s">
        <v>84</v>
      </c>
      <c r="D169" t="s">
        <v>85</v>
      </c>
      <c r="E169">
        <v>0</v>
      </c>
      <c r="F169">
        <v>1</v>
      </c>
      <c r="G169" t="s">
        <v>66</v>
      </c>
      <c r="H169">
        <v>0</v>
      </c>
      <c r="I169">
        <v>0</v>
      </c>
      <c r="J169" t="s">
        <v>67</v>
      </c>
      <c r="K169">
        <v>9</v>
      </c>
      <c r="L169">
        <v>10</v>
      </c>
      <c r="M169">
        <v>3</v>
      </c>
      <c r="N169">
        <v>5</v>
      </c>
      <c r="O169">
        <v>18</v>
      </c>
      <c r="P169">
        <v>10</v>
      </c>
      <c r="Q169">
        <v>2</v>
      </c>
      <c r="R169">
        <v>3</v>
      </c>
      <c r="S169">
        <v>5</v>
      </c>
      <c r="T169">
        <v>3</v>
      </c>
      <c r="U169">
        <v>0</v>
      </c>
      <c r="V169">
        <v>0</v>
      </c>
      <c r="W169">
        <v>4.33</v>
      </c>
      <c r="X169">
        <v>3.4</v>
      </c>
      <c r="Y169">
        <v>1.85</v>
      </c>
      <c r="Z169">
        <v>4.4000000000000004</v>
      </c>
      <c r="AA169">
        <v>3.5</v>
      </c>
      <c r="AB169">
        <v>1.8</v>
      </c>
      <c r="AC169">
        <v>4.5</v>
      </c>
      <c r="AD169">
        <v>3.5</v>
      </c>
      <c r="AE169">
        <v>1.75</v>
      </c>
      <c r="AF169">
        <v>4.5</v>
      </c>
      <c r="AG169">
        <v>3.6</v>
      </c>
      <c r="AH169">
        <v>1.75</v>
      </c>
      <c r="AI169">
        <v>4.3899999999999997</v>
      </c>
      <c r="AJ169">
        <v>3.61</v>
      </c>
      <c r="AK169">
        <v>1.94</v>
      </c>
      <c r="AL169">
        <v>4.33</v>
      </c>
      <c r="AM169">
        <v>3.2</v>
      </c>
      <c r="AN169">
        <v>1.91</v>
      </c>
      <c r="AO169">
        <v>4</v>
      </c>
      <c r="AP169">
        <v>3.4</v>
      </c>
      <c r="AQ169">
        <v>1.83</v>
      </c>
      <c r="AR169">
        <v>4.2</v>
      </c>
      <c r="AS169">
        <v>3.6</v>
      </c>
      <c r="AT169">
        <v>1.95</v>
      </c>
      <c r="AU169">
        <v>37</v>
      </c>
      <c r="AV169">
        <v>4.7</v>
      </c>
      <c r="AW169">
        <v>4.2</v>
      </c>
      <c r="AX169">
        <v>3.61</v>
      </c>
      <c r="AY169">
        <v>3.47</v>
      </c>
      <c r="AZ169">
        <v>1.95</v>
      </c>
      <c r="BA169">
        <v>1.87</v>
      </c>
      <c r="BB169">
        <v>36</v>
      </c>
      <c r="BC169">
        <v>1.88</v>
      </c>
      <c r="BD169">
        <v>1.79</v>
      </c>
      <c r="BE169">
        <v>2.1</v>
      </c>
      <c r="BF169">
        <v>1.99</v>
      </c>
      <c r="BG169">
        <v>17</v>
      </c>
      <c r="BH169">
        <v>0.5</v>
      </c>
      <c r="BI169">
        <v>2.0099999999999998</v>
      </c>
      <c r="BJ169">
        <v>1.97</v>
      </c>
      <c r="BK169">
        <v>1.94</v>
      </c>
      <c r="BL169">
        <v>1.89</v>
      </c>
      <c r="BM169">
        <v>3.95</v>
      </c>
      <c r="BN169">
        <v>3.46</v>
      </c>
      <c r="BO169">
        <v>1.96</v>
      </c>
    </row>
    <row r="170" spans="1:67">
      <c r="A170" t="s">
        <v>63</v>
      </c>
      <c r="B170" s="77">
        <v>41630</v>
      </c>
      <c r="C170" t="s">
        <v>83</v>
      </c>
      <c r="D170" t="s">
        <v>82</v>
      </c>
      <c r="E170">
        <v>4</v>
      </c>
      <c r="F170">
        <v>1</v>
      </c>
      <c r="G170" t="s">
        <v>70</v>
      </c>
      <c r="H170">
        <v>1</v>
      </c>
      <c r="I170">
        <v>1</v>
      </c>
      <c r="J170" t="s">
        <v>67</v>
      </c>
      <c r="K170">
        <v>12</v>
      </c>
      <c r="L170">
        <v>9</v>
      </c>
      <c r="M170">
        <v>6</v>
      </c>
      <c r="N170">
        <v>3</v>
      </c>
      <c r="O170">
        <v>12</v>
      </c>
      <c r="P170">
        <v>13</v>
      </c>
      <c r="Q170">
        <v>6</v>
      </c>
      <c r="R170">
        <v>7</v>
      </c>
      <c r="S170">
        <v>2</v>
      </c>
      <c r="T170">
        <v>2</v>
      </c>
      <c r="U170">
        <v>0</v>
      </c>
      <c r="V170">
        <v>0</v>
      </c>
      <c r="W170">
        <v>1.83</v>
      </c>
      <c r="X170">
        <v>3.3</v>
      </c>
      <c r="Y170">
        <v>4.75</v>
      </c>
      <c r="Z170">
        <v>1.75</v>
      </c>
      <c r="AA170">
        <v>3.5</v>
      </c>
      <c r="AB170">
        <v>4.75</v>
      </c>
      <c r="AC170">
        <v>1.8</v>
      </c>
      <c r="AD170">
        <v>3.5</v>
      </c>
      <c r="AE170">
        <v>4.2</v>
      </c>
      <c r="AF170">
        <v>1.8</v>
      </c>
      <c r="AG170">
        <v>3.4</v>
      </c>
      <c r="AH170">
        <v>4.5</v>
      </c>
      <c r="AI170">
        <v>1.88</v>
      </c>
      <c r="AJ170">
        <v>3.43</v>
      </c>
      <c r="AK170">
        <v>5.1100000000000003</v>
      </c>
      <c r="AL170">
        <v>1.83</v>
      </c>
      <c r="AM170">
        <v>3.1</v>
      </c>
      <c r="AN170">
        <v>5</v>
      </c>
      <c r="AO170">
        <v>1.8</v>
      </c>
      <c r="AP170">
        <v>3.4</v>
      </c>
      <c r="AQ170">
        <v>4.5</v>
      </c>
      <c r="AR170">
        <v>1.87</v>
      </c>
      <c r="AS170">
        <v>3.4</v>
      </c>
      <c r="AT170">
        <v>5</v>
      </c>
      <c r="AU170">
        <v>37</v>
      </c>
      <c r="AV170">
        <v>1.88</v>
      </c>
      <c r="AW170">
        <v>1.82</v>
      </c>
      <c r="AX170">
        <v>3.5</v>
      </c>
      <c r="AY170">
        <v>3.36</v>
      </c>
      <c r="AZ170">
        <v>5.32</v>
      </c>
      <c r="BA170">
        <v>4.6900000000000004</v>
      </c>
      <c r="BB170">
        <v>34</v>
      </c>
      <c r="BC170">
        <v>2.4300000000000002</v>
      </c>
      <c r="BD170">
        <v>2.2999999999999998</v>
      </c>
      <c r="BE170">
        <v>1.65</v>
      </c>
      <c r="BF170">
        <v>1.59</v>
      </c>
      <c r="BG170">
        <v>17</v>
      </c>
      <c r="BH170">
        <v>-0.75</v>
      </c>
      <c r="BI170">
        <v>2.16</v>
      </c>
      <c r="BJ170">
        <v>2.1</v>
      </c>
      <c r="BK170">
        <v>1.82</v>
      </c>
      <c r="BL170">
        <v>1.77</v>
      </c>
      <c r="BM170">
        <v>1.96</v>
      </c>
      <c r="BN170">
        <v>3.16</v>
      </c>
      <c r="BO170">
        <v>4.43</v>
      </c>
    </row>
    <row r="171" spans="1:67">
      <c r="A171" t="s">
        <v>63</v>
      </c>
      <c r="B171" s="77">
        <v>41630</v>
      </c>
      <c r="C171" t="s">
        <v>68</v>
      </c>
      <c r="D171" t="s">
        <v>75</v>
      </c>
      <c r="E171">
        <v>4</v>
      </c>
      <c r="F171">
        <v>1</v>
      </c>
      <c r="G171" t="s">
        <v>70</v>
      </c>
      <c r="H171">
        <v>2</v>
      </c>
      <c r="I171">
        <v>1</v>
      </c>
      <c r="J171" t="s">
        <v>70</v>
      </c>
      <c r="K171">
        <v>13</v>
      </c>
      <c r="L171">
        <v>18</v>
      </c>
      <c r="M171">
        <v>7</v>
      </c>
      <c r="N171">
        <v>9</v>
      </c>
      <c r="O171">
        <v>7</v>
      </c>
      <c r="P171">
        <v>13</v>
      </c>
      <c r="Q171">
        <v>1</v>
      </c>
      <c r="R171">
        <v>10</v>
      </c>
      <c r="S171">
        <v>1</v>
      </c>
      <c r="T171">
        <v>2</v>
      </c>
      <c r="U171">
        <v>0</v>
      </c>
      <c r="V171">
        <v>0</v>
      </c>
      <c r="W171">
        <v>2.7</v>
      </c>
      <c r="X171">
        <v>3.2</v>
      </c>
      <c r="Y171">
        <v>2.63</v>
      </c>
      <c r="Z171">
        <v>2.75</v>
      </c>
      <c r="AA171">
        <v>3.2</v>
      </c>
      <c r="AB171">
        <v>2.5499999999999998</v>
      </c>
      <c r="AC171">
        <v>2.6</v>
      </c>
      <c r="AD171">
        <v>3.2</v>
      </c>
      <c r="AE171">
        <v>2.6</v>
      </c>
      <c r="AF171">
        <v>2.75</v>
      </c>
      <c r="AG171">
        <v>3.3</v>
      </c>
      <c r="AH171">
        <v>2.5</v>
      </c>
      <c r="AI171">
        <v>3.02</v>
      </c>
      <c r="AJ171">
        <v>3.27</v>
      </c>
      <c r="AK171">
        <v>2.61</v>
      </c>
      <c r="AL171">
        <v>2.7</v>
      </c>
      <c r="AM171">
        <v>3.1</v>
      </c>
      <c r="AN171">
        <v>2.7</v>
      </c>
      <c r="AO171">
        <v>2.75</v>
      </c>
      <c r="AP171">
        <v>3.13</v>
      </c>
      <c r="AQ171">
        <v>2.5</v>
      </c>
      <c r="AR171">
        <v>3</v>
      </c>
      <c r="AS171">
        <v>3.25</v>
      </c>
      <c r="AT171">
        <v>2.6</v>
      </c>
      <c r="AU171">
        <v>37</v>
      </c>
      <c r="AV171">
        <v>3.03</v>
      </c>
      <c r="AW171">
        <v>2.82</v>
      </c>
      <c r="AX171">
        <v>3.3</v>
      </c>
      <c r="AY171">
        <v>3.18</v>
      </c>
      <c r="AZ171">
        <v>2.7</v>
      </c>
      <c r="BA171">
        <v>2.5499999999999998</v>
      </c>
      <c r="BB171">
        <v>36</v>
      </c>
      <c r="BC171">
        <v>2.15</v>
      </c>
      <c r="BD171">
        <v>2.0299999999999998</v>
      </c>
      <c r="BE171">
        <v>1.83</v>
      </c>
      <c r="BF171">
        <v>1.76</v>
      </c>
      <c r="BG171">
        <v>17</v>
      </c>
      <c r="BH171">
        <v>0</v>
      </c>
      <c r="BI171">
        <v>2.12</v>
      </c>
      <c r="BJ171">
        <v>2.04</v>
      </c>
      <c r="BK171">
        <v>1.85</v>
      </c>
      <c r="BL171">
        <v>1.81</v>
      </c>
      <c r="BM171">
        <v>2.9</v>
      </c>
      <c r="BN171">
        <v>3.16</v>
      </c>
      <c r="BO171">
        <v>2.56</v>
      </c>
    </row>
    <row r="172" spans="1:67">
      <c r="A172" t="s">
        <v>63</v>
      </c>
      <c r="B172" s="77">
        <v>41644</v>
      </c>
      <c r="C172" t="s">
        <v>82</v>
      </c>
      <c r="D172" t="s">
        <v>71</v>
      </c>
      <c r="E172">
        <v>0</v>
      </c>
      <c r="F172">
        <v>0</v>
      </c>
      <c r="G172" t="s">
        <v>67</v>
      </c>
      <c r="H172">
        <v>0</v>
      </c>
      <c r="I172">
        <v>0</v>
      </c>
      <c r="J172" t="s">
        <v>67</v>
      </c>
      <c r="K172">
        <v>1</v>
      </c>
      <c r="L172">
        <v>6</v>
      </c>
      <c r="M172">
        <v>0</v>
      </c>
      <c r="N172">
        <v>1</v>
      </c>
      <c r="O172">
        <v>24</v>
      </c>
      <c r="P172">
        <v>19</v>
      </c>
      <c r="Q172">
        <v>1</v>
      </c>
      <c r="R172">
        <v>1</v>
      </c>
      <c r="S172">
        <v>3</v>
      </c>
      <c r="T172">
        <v>2</v>
      </c>
      <c r="U172">
        <v>0</v>
      </c>
      <c r="V172">
        <v>0</v>
      </c>
      <c r="W172">
        <v>2.38</v>
      </c>
      <c r="X172">
        <v>3</v>
      </c>
      <c r="Y172">
        <v>3.25</v>
      </c>
      <c r="Z172">
        <v>2.2999999999999998</v>
      </c>
      <c r="AA172">
        <v>3.1</v>
      </c>
      <c r="AB172">
        <v>3.25</v>
      </c>
      <c r="AC172">
        <v>2.2999999999999998</v>
      </c>
      <c r="AD172">
        <v>3.1</v>
      </c>
      <c r="AE172">
        <v>3.1</v>
      </c>
      <c r="AF172">
        <v>2.2999999999999998</v>
      </c>
      <c r="AG172">
        <v>3.1</v>
      </c>
      <c r="AH172">
        <v>3.25</v>
      </c>
      <c r="AI172">
        <v>2.44</v>
      </c>
      <c r="AJ172">
        <v>3.18</v>
      </c>
      <c r="AK172">
        <v>3.38</v>
      </c>
      <c r="AL172">
        <v>2.4</v>
      </c>
      <c r="AM172">
        <v>3.1</v>
      </c>
      <c r="AN172">
        <v>3.1</v>
      </c>
      <c r="AO172">
        <v>2.2999999999999998</v>
      </c>
      <c r="AP172">
        <v>3</v>
      </c>
      <c r="AQ172">
        <v>3.13</v>
      </c>
      <c r="AR172">
        <v>2.4500000000000002</v>
      </c>
      <c r="AS172">
        <v>3.1</v>
      </c>
      <c r="AT172">
        <v>3.4</v>
      </c>
      <c r="AU172">
        <v>39</v>
      </c>
      <c r="AV172">
        <v>2.4500000000000002</v>
      </c>
      <c r="AW172">
        <v>2.35</v>
      </c>
      <c r="AX172">
        <v>3.22</v>
      </c>
      <c r="AY172">
        <v>3.09</v>
      </c>
      <c r="AZ172">
        <v>3.4</v>
      </c>
      <c r="BA172">
        <v>3.22</v>
      </c>
      <c r="BB172">
        <v>31</v>
      </c>
      <c r="BC172">
        <v>2.5499999999999998</v>
      </c>
      <c r="BD172">
        <v>2.39</v>
      </c>
      <c r="BE172">
        <v>1.6</v>
      </c>
      <c r="BF172">
        <v>1.53</v>
      </c>
      <c r="BG172">
        <v>18</v>
      </c>
      <c r="BH172">
        <v>0</v>
      </c>
      <c r="BI172">
        <v>1.7</v>
      </c>
      <c r="BJ172">
        <v>1.66</v>
      </c>
      <c r="BK172">
        <v>2.36</v>
      </c>
      <c r="BL172">
        <v>2.27</v>
      </c>
      <c r="BM172">
        <v>2.5299999999999998</v>
      </c>
      <c r="BN172">
        <v>3.11</v>
      </c>
      <c r="BO172">
        <v>3.28</v>
      </c>
    </row>
    <row r="173" spans="1:67">
      <c r="A173" t="s">
        <v>63</v>
      </c>
      <c r="B173" s="77">
        <v>41644</v>
      </c>
      <c r="C173" t="s">
        <v>85</v>
      </c>
      <c r="D173" t="s">
        <v>77</v>
      </c>
      <c r="E173">
        <v>1</v>
      </c>
      <c r="F173">
        <v>0</v>
      </c>
      <c r="G173" t="s">
        <v>70</v>
      </c>
      <c r="H173">
        <v>0</v>
      </c>
      <c r="I173">
        <v>0</v>
      </c>
      <c r="J173" t="s">
        <v>67</v>
      </c>
      <c r="K173">
        <v>19</v>
      </c>
      <c r="L173">
        <v>8</v>
      </c>
      <c r="M173">
        <v>7</v>
      </c>
      <c r="N173">
        <v>3</v>
      </c>
      <c r="O173">
        <v>13</v>
      </c>
      <c r="P173">
        <v>21</v>
      </c>
      <c r="Q173">
        <v>5</v>
      </c>
      <c r="R173">
        <v>3</v>
      </c>
      <c r="S173">
        <v>4</v>
      </c>
      <c r="T173">
        <v>5</v>
      </c>
      <c r="U173">
        <v>0</v>
      </c>
      <c r="V173">
        <v>0</v>
      </c>
      <c r="W173">
        <v>1.33</v>
      </c>
      <c r="X173">
        <v>4.75</v>
      </c>
      <c r="Y173">
        <v>10</v>
      </c>
      <c r="Z173">
        <v>1.31</v>
      </c>
      <c r="AA173">
        <v>5</v>
      </c>
      <c r="AB173">
        <v>9.75</v>
      </c>
      <c r="AC173">
        <v>1.3</v>
      </c>
      <c r="AD173">
        <v>5</v>
      </c>
      <c r="AE173">
        <v>9</v>
      </c>
      <c r="AF173">
        <v>1.33</v>
      </c>
      <c r="AG173">
        <v>5</v>
      </c>
      <c r="AH173">
        <v>9</v>
      </c>
      <c r="AI173">
        <v>1.33</v>
      </c>
      <c r="AJ173">
        <v>5.46</v>
      </c>
      <c r="AK173">
        <v>12.05</v>
      </c>
      <c r="AL173">
        <v>1.33</v>
      </c>
      <c r="AM173">
        <v>4.8</v>
      </c>
      <c r="AN173">
        <v>10</v>
      </c>
      <c r="AO173">
        <v>1.3</v>
      </c>
      <c r="AP173">
        <v>4.8</v>
      </c>
      <c r="AQ173">
        <v>9</v>
      </c>
      <c r="AR173">
        <v>1.33</v>
      </c>
      <c r="AS173">
        <v>5.5</v>
      </c>
      <c r="AT173">
        <v>10</v>
      </c>
      <c r="AU173">
        <v>39</v>
      </c>
      <c r="AV173">
        <v>1.37</v>
      </c>
      <c r="AW173">
        <v>1.32</v>
      </c>
      <c r="AX173">
        <v>5.46</v>
      </c>
      <c r="AY173">
        <v>4.9800000000000004</v>
      </c>
      <c r="AZ173">
        <v>12.05</v>
      </c>
      <c r="BA173">
        <v>9.93</v>
      </c>
      <c r="BB173">
        <v>38</v>
      </c>
      <c r="BC173">
        <v>1.7</v>
      </c>
      <c r="BD173">
        <v>1.63</v>
      </c>
      <c r="BE173">
        <v>2.39</v>
      </c>
      <c r="BF173">
        <v>2.2400000000000002</v>
      </c>
      <c r="BG173">
        <v>20</v>
      </c>
      <c r="BH173">
        <v>-1.5</v>
      </c>
      <c r="BI173">
        <v>2.02</v>
      </c>
      <c r="BJ173">
        <v>1.96</v>
      </c>
      <c r="BK173">
        <v>1.95</v>
      </c>
      <c r="BL173">
        <v>1.89</v>
      </c>
      <c r="BM173">
        <v>1.33</v>
      </c>
      <c r="BN173">
        <v>5.52</v>
      </c>
      <c r="BO173">
        <v>11.35</v>
      </c>
    </row>
    <row r="174" spans="1:67">
      <c r="A174" t="s">
        <v>63</v>
      </c>
      <c r="B174" s="77">
        <v>41644</v>
      </c>
      <c r="C174" t="s">
        <v>65</v>
      </c>
      <c r="D174" t="s">
        <v>78</v>
      </c>
      <c r="E174">
        <v>3</v>
      </c>
      <c r="F174">
        <v>0</v>
      </c>
      <c r="G174" t="s">
        <v>70</v>
      </c>
      <c r="H174">
        <v>1</v>
      </c>
      <c r="I174">
        <v>0</v>
      </c>
      <c r="J174" t="s">
        <v>70</v>
      </c>
      <c r="K174">
        <v>13</v>
      </c>
      <c r="L174">
        <v>8</v>
      </c>
      <c r="M174">
        <v>5</v>
      </c>
      <c r="N174">
        <v>4</v>
      </c>
      <c r="O174">
        <v>15</v>
      </c>
      <c r="P174">
        <v>17</v>
      </c>
      <c r="Q174">
        <v>5</v>
      </c>
      <c r="R174">
        <v>3</v>
      </c>
      <c r="S174">
        <v>3</v>
      </c>
      <c r="T174">
        <v>2</v>
      </c>
      <c r="U174">
        <v>0</v>
      </c>
      <c r="V174">
        <v>2</v>
      </c>
      <c r="W174">
        <v>1.67</v>
      </c>
      <c r="X174">
        <v>3.75</v>
      </c>
      <c r="Y174">
        <v>5</v>
      </c>
      <c r="Z174">
        <v>1.65</v>
      </c>
      <c r="AA174">
        <v>3.9</v>
      </c>
      <c r="AB174">
        <v>5</v>
      </c>
      <c r="AC174">
        <v>1.7</v>
      </c>
      <c r="AD174">
        <v>3.6</v>
      </c>
      <c r="AE174">
        <v>4.7</v>
      </c>
      <c r="AF174">
        <v>1.66</v>
      </c>
      <c r="AG174">
        <v>3.75</v>
      </c>
      <c r="AH174">
        <v>5</v>
      </c>
      <c r="AI174">
        <v>1.69</v>
      </c>
      <c r="AJ174">
        <v>3.98</v>
      </c>
      <c r="AK174">
        <v>5.58</v>
      </c>
      <c r="AL174">
        <v>1.7</v>
      </c>
      <c r="AM174">
        <v>3.4</v>
      </c>
      <c r="AN174">
        <v>5.5</v>
      </c>
      <c r="AO174">
        <v>1.62</v>
      </c>
      <c r="AP174">
        <v>3.75</v>
      </c>
      <c r="AQ174">
        <v>5.25</v>
      </c>
      <c r="AR174">
        <v>1.7</v>
      </c>
      <c r="AS174">
        <v>3.75</v>
      </c>
      <c r="AT174">
        <v>5.5</v>
      </c>
      <c r="AU174">
        <v>39</v>
      </c>
      <c r="AV174">
        <v>1.7</v>
      </c>
      <c r="AW174">
        <v>1.66</v>
      </c>
      <c r="AX174">
        <v>3.98</v>
      </c>
      <c r="AY174">
        <v>3.76</v>
      </c>
      <c r="AZ174">
        <v>5.62</v>
      </c>
      <c r="BA174">
        <v>5.29</v>
      </c>
      <c r="BB174">
        <v>38</v>
      </c>
      <c r="BC174">
        <v>1.77</v>
      </c>
      <c r="BD174">
        <v>1.71</v>
      </c>
      <c r="BE174">
        <v>2.21</v>
      </c>
      <c r="BF174">
        <v>2.1</v>
      </c>
      <c r="BG174">
        <v>20</v>
      </c>
      <c r="BH174">
        <v>-1</v>
      </c>
      <c r="BI174">
        <v>2.2200000000000002</v>
      </c>
      <c r="BJ174">
        <v>2.14</v>
      </c>
      <c r="BK174">
        <v>1.8</v>
      </c>
      <c r="BL174">
        <v>1.74</v>
      </c>
      <c r="BM174">
        <v>1.7</v>
      </c>
      <c r="BN174">
        <v>3.91</v>
      </c>
      <c r="BO174">
        <v>5.66</v>
      </c>
    </row>
    <row r="175" spans="1:67">
      <c r="A175" t="s">
        <v>63</v>
      </c>
      <c r="B175" s="77">
        <v>41645</v>
      </c>
      <c r="C175" t="s">
        <v>86</v>
      </c>
      <c r="D175" t="s">
        <v>80</v>
      </c>
      <c r="E175">
        <v>2</v>
      </c>
      <c r="F175">
        <v>0</v>
      </c>
      <c r="G175" t="s">
        <v>70</v>
      </c>
      <c r="H175">
        <v>1</v>
      </c>
      <c r="I175">
        <v>0</v>
      </c>
      <c r="J175" t="s">
        <v>70</v>
      </c>
      <c r="K175">
        <v>19</v>
      </c>
      <c r="L175">
        <v>12</v>
      </c>
      <c r="M175">
        <v>2</v>
      </c>
      <c r="N175">
        <v>2</v>
      </c>
      <c r="O175">
        <v>18</v>
      </c>
      <c r="P175">
        <v>19</v>
      </c>
      <c r="Q175">
        <v>3</v>
      </c>
      <c r="R175">
        <v>4</v>
      </c>
      <c r="S175">
        <v>4</v>
      </c>
      <c r="T175">
        <v>4</v>
      </c>
      <c r="U175">
        <v>0</v>
      </c>
      <c r="V175">
        <v>0</v>
      </c>
      <c r="W175">
        <v>2.1</v>
      </c>
      <c r="X175">
        <v>3.2</v>
      </c>
      <c r="Y175">
        <v>3.6</v>
      </c>
      <c r="Z175">
        <v>2.15</v>
      </c>
      <c r="AA175">
        <v>3.2</v>
      </c>
      <c r="AB175">
        <v>3.5</v>
      </c>
      <c r="AC175">
        <v>2.2000000000000002</v>
      </c>
      <c r="AD175">
        <v>3.15</v>
      </c>
      <c r="AE175">
        <v>3.25</v>
      </c>
      <c r="AF175">
        <v>2.15</v>
      </c>
      <c r="AG175">
        <v>3.2</v>
      </c>
      <c r="AH175">
        <v>3.5</v>
      </c>
      <c r="AI175">
        <v>2.15</v>
      </c>
      <c r="AJ175">
        <v>3.29</v>
      </c>
      <c r="AK175">
        <v>3.98</v>
      </c>
      <c r="AL175">
        <v>2.15</v>
      </c>
      <c r="AM175">
        <v>3.1</v>
      </c>
      <c r="AN175">
        <v>3.6</v>
      </c>
      <c r="AO175">
        <v>2.0499999999999998</v>
      </c>
      <c r="AP175">
        <v>3.2</v>
      </c>
      <c r="AQ175">
        <v>3.5</v>
      </c>
      <c r="AR175">
        <v>2.15</v>
      </c>
      <c r="AS175">
        <v>3.25</v>
      </c>
      <c r="AT175">
        <v>3.9</v>
      </c>
      <c r="AU175">
        <v>38</v>
      </c>
      <c r="AV175">
        <v>2.2000000000000002</v>
      </c>
      <c r="AW175">
        <v>2.12</v>
      </c>
      <c r="AX175">
        <v>3.35</v>
      </c>
      <c r="AY175">
        <v>3.2</v>
      </c>
      <c r="AZ175">
        <v>4.03</v>
      </c>
      <c r="BA175">
        <v>3.61</v>
      </c>
      <c r="BB175">
        <v>37</v>
      </c>
      <c r="BC175">
        <v>2.4300000000000002</v>
      </c>
      <c r="BD175">
        <v>2.25</v>
      </c>
      <c r="BE175">
        <v>1.7</v>
      </c>
      <c r="BF175">
        <v>1.62</v>
      </c>
      <c r="BG175">
        <v>17</v>
      </c>
      <c r="BH175">
        <v>-0.5</v>
      </c>
      <c r="BI175">
        <v>2.16</v>
      </c>
      <c r="BJ175">
        <v>2.12</v>
      </c>
      <c r="BK175">
        <v>1.81</v>
      </c>
      <c r="BL175">
        <v>1.77</v>
      </c>
      <c r="BM175">
        <v>2</v>
      </c>
      <c r="BN175">
        <v>3.29</v>
      </c>
      <c r="BO175">
        <v>4.5599999999999996</v>
      </c>
    </row>
    <row r="176" spans="1:67">
      <c r="A176" t="s">
        <v>63</v>
      </c>
      <c r="B176" s="77">
        <v>41645</v>
      </c>
      <c r="C176" t="s">
        <v>74</v>
      </c>
      <c r="D176" t="s">
        <v>84</v>
      </c>
      <c r="E176">
        <v>2</v>
      </c>
      <c r="F176">
        <v>0</v>
      </c>
      <c r="G176" t="s">
        <v>70</v>
      </c>
      <c r="H176">
        <v>2</v>
      </c>
      <c r="I176">
        <v>0</v>
      </c>
      <c r="J176" t="s">
        <v>70</v>
      </c>
      <c r="K176">
        <v>17</v>
      </c>
      <c r="L176">
        <v>10</v>
      </c>
      <c r="M176">
        <v>8</v>
      </c>
      <c r="N176">
        <v>1</v>
      </c>
      <c r="O176">
        <v>19</v>
      </c>
      <c r="P176">
        <v>23</v>
      </c>
      <c r="Q176">
        <v>9</v>
      </c>
      <c r="R176">
        <v>4</v>
      </c>
      <c r="S176">
        <v>3</v>
      </c>
      <c r="T176">
        <v>4</v>
      </c>
      <c r="U176">
        <v>0</v>
      </c>
      <c r="V176">
        <v>0</v>
      </c>
      <c r="W176">
        <v>2.1</v>
      </c>
      <c r="X176">
        <v>3.3</v>
      </c>
      <c r="Y176">
        <v>3.5</v>
      </c>
      <c r="Z176">
        <v>2</v>
      </c>
      <c r="AA176">
        <v>3.3</v>
      </c>
      <c r="AB176">
        <v>3.8</v>
      </c>
      <c r="AC176">
        <v>2</v>
      </c>
      <c r="AD176">
        <v>3.3</v>
      </c>
      <c r="AE176">
        <v>3.6</v>
      </c>
      <c r="AF176">
        <v>2.0499999999999998</v>
      </c>
      <c r="AG176">
        <v>3.3</v>
      </c>
      <c r="AH176">
        <v>3.75</v>
      </c>
      <c r="AI176">
        <v>2.14</v>
      </c>
      <c r="AJ176">
        <v>3.41</v>
      </c>
      <c r="AK176">
        <v>3.85</v>
      </c>
      <c r="AL176">
        <v>2.15</v>
      </c>
      <c r="AM176">
        <v>3.1</v>
      </c>
      <c r="AN176">
        <v>3.6</v>
      </c>
      <c r="AO176">
        <v>2.0499999999999998</v>
      </c>
      <c r="AP176">
        <v>3.2</v>
      </c>
      <c r="AQ176">
        <v>3.5</v>
      </c>
      <c r="AR176">
        <v>2.15</v>
      </c>
      <c r="AS176">
        <v>3.3</v>
      </c>
      <c r="AT176">
        <v>3.7</v>
      </c>
      <c r="AU176">
        <v>39</v>
      </c>
      <c r="AV176">
        <v>2.15</v>
      </c>
      <c r="AW176">
        <v>2.09</v>
      </c>
      <c r="AX176">
        <v>3.43</v>
      </c>
      <c r="AY176">
        <v>3.26</v>
      </c>
      <c r="AZ176">
        <v>3.86</v>
      </c>
      <c r="BA176">
        <v>3.64</v>
      </c>
      <c r="BB176">
        <v>38</v>
      </c>
      <c r="BC176">
        <v>2.1800000000000002</v>
      </c>
      <c r="BD176">
        <v>2.0499999999999998</v>
      </c>
      <c r="BE176">
        <v>1.81</v>
      </c>
      <c r="BF176">
        <v>1.74</v>
      </c>
      <c r="BG176">
        <v>18</v>
      </c>
      <c r="BH176">
        <v>-0.5</v>
      </c>
      <c r="BI176">
        <v>2.15</v>
      </c>
      <c r="BJ176">
        <v>2.09</v>
      </c>
      <c r="BK176">
        <v>1.83</v>
      </c>
      <c r="BL176">
        <v>1.78</v>
      </c>
      <c r="BM176">
        <v>2.33</v>
      </c>
      <c r="BN176">
        <v>3.38</v>
      </c>
      <c r="BO176">
        <v>3.36</v>
      </c>
    </row>
    <row r="177" spans="1:67">
      <c r="A177" t="s">
        <v>63</v>
      </c>
      <c r="B177" s="77">
        <v>41645</v>
      </c>
      <c r="C177" t="s">
        <v>75</v>
      </c>
      <c r="D177" t="s">
        <v>73</v>
      </c>
      <c r="E177">
        <v>1</v>
      </c>
      <c r="F177">
        <v>0</v>
      </c>
      <c r="G177" t="s">
        <v>70</v>
      </c>
      <c r="H177">
        <v>0</v>
      </c>
      <c r="I177">
        <v>0</v>
      </c>
      <c r="J177" t="s">
        <v>67</v>
      </c>
      <c r="K177">
        <v>8</v>
      </c>
      <c r="L177">
        <v>10</v>
      </c>
      <c r="M177">
        <v>3</v>
      </c>
      <c r="N177">
        <v>1</v>
      </c>
      <c r="O177">
        <v>11</v>
      </c>
      <c r="P177">
        <v>16</v>
      </c>
      <c r="Q177">
        <v>6</v>
      </c>
      <c r="R177">
        <v>4</v>
      </c>
      <c r="S177">
        <v>3</v>
      </c>
      <c r="T177">
        <v>2</v>
      </c>
      <c r="U177">
        <v>0</v>
      </c>
      <c r="V177">
        <v>0</v>
      </c>
      <c r="W177">
        <v>2.4</v>
      </c>
      <c r="X177">
        <v>3.3</v>
      </c>
      <c r="Y177">
        <v>2.88</v>
      </c>
      <c r="Z177">
        <v>2.5499999999999998</v>
      </c>
      <c r="AA177">
        <v>3.3</v>
      </c>
      <c r="AB177">
        <v>2.7</v>
      </c>
      <c r="AC177">
        <v>2.6</v>
      </c>
      <c r="AD177">
        <v>3.2</v>
      </c>
      <c r="AE177">
        <v>2.6</v>
      </c>
      <c r="AF177">
        <v>2.6</v>
      </c>
      <c r="AG177">
        <v>3.3</v>
      </c>
      <c r="AH177">
        <v>2.62</v>
      </c>
      <c r="AI177">
        <v>2.52</v>
      </c>
      <c r="AJ177">
        <v>3.41</v>
      </c>
      <c r="AK177">
        <v>3.03</v>
      </c>
      <c r="AL177">
        <v>2.5</v>
      </c>
      <c r="AM177">
        <v>3</v>
      </c>
      <c r="AN177">
        <v>3</v>
      </c>
      <c r="AO177">
        <v>2.4</v>
      </c>
      <c r="AP177">
        <v>3.2</v>
      </c>
      <c r="AQ177">
        <v>2.88</v>
      </c>
      <c r="AR177">
        <v>2.5</v>
      </c>
      <c r="AS177">
        <v>3.3</v>
      </c>
      <c r="AT177">
        <v>3</v>
      </c>
      <c r="AU177">
        <v>38</v>
      </c>
      <c r="AV177">
        <v>2.6</v>
      </c>
      <c r="AW177">
        <v>2.48</v>
      </c>
      <c r="AX177">
        <v>3.41</v>
      </c>
      <c r="AY177">
        <v>3.25</v>
      </c>
      <c r="AZ177">
        <v>3.03</v>
      </c>
      <c r="BA177">
        <v>2.89</v>
      </c>
      <c r="BB177">
        <v>37</v>
      </c>
      <c r="BC177">
        <v>1.95</v>
      </c>
      <c r="BD177">
        <v>1.88</v>
      </c>
      <c r="BE177">
        <v>1.99</v>
      </c>
      <c r="BF177">
        <v>1.89</v>
      </c>
      <c r="BG177">
        <v>19</v>
      </c>
      <c r="BH177">
        <v>0</v>
      </c>
      <c r="BI177">
        <v>1.81</v>
      </c>
      <c r="BJ177">
        <v>1.78</v>
      </c>
      <c r="BK177">
        <v>2.16</v>
      </c>
      <c r="BL177">
        <v>2.09</v>
      </c>
      <c r="BM177">
        <v>2.54</v>
      </c>
      <c r="BN177">
        <v>3.36</v>
      </c>
      <c r="BO177">
        <v>3.02</v>
      </c>
    </row>
    <row r="178" spans="1:67">
      <c r="A178" t="s">
        <v>63</v>
      </c>
      <c r="B178" s="77">
        <v>41645</v>
      </c>
      <c r="C178" t="s">
        <v>69</v>
      </c>
      <c r="D178" t="s">
        <v>72</v>
      </c>
      <c r="E178">
        <v>3</v>
      </c>
      <c r="F178">
        <v>0</v>
      </c>
      <c r="G178" t="s">
        <v>70</v>
      </c>
      <c r="H178">
        <v>1</v>
      </c>
      <c r="I178">
        <v>0</v>
      </c>
      <c r="J178" t="s">
        <v>70</v>
      </c>
      <c r="K178">
        <v>15</v>
      </c>
      <c r="L178">
        <v>12</v>
      </c>
      <c r="M178">
        <v>8</v>
      </c>
      <c r="N178">
        <v>4</v>
      </c>
      <c r="O178">
        <v>20</v>
      </c>
      <c r="P178">
        <v>13</v>
      </c>
      <c r="Q178">
        <v>3</v>
      </c>
      <c r="R178">
        <v>7</v>
      </c>
      <c r="S178">
        <v>1</v>
      </c>
      <c r="T178">
        <v>1</v>
      </c>
      <c r="U178">
        <v>0</v>
      </c>
      <c r="V178">
        <v>0</v>
      </c>
      <c r="W178">
        <v>1.44</v>
      </c>
      <c r="X178">
        <v>4.2</v>
      </c>
      <c r="Y178">
        <v>7.5</v>
      </c>
      <c r="Z178">
        <v>1.45</v>
      </c>
      <c r="AA178">
        <v>4.25</v>
      </c>
      <c r="AB178">
        <v>7</v>
      </c>
      <c r="AC178">
        <v>1.45</v>
      </c>
      <c r="AD178">
        <v>4</v>
      </c>
      <c r="AE178">
        <v>7</v>
      </c>
      <c r="AF178">
        <v>1.5</v>
      </c>
      <c r="AG178">
        <v>4</v>
      </c>
      <c r="AH178">
        <v>7</v>
      </c>
      <c r="AI178">
        <v>1.47</v>
      </c>
      <c r="AJ178">
        <v>4.5199999999999996</v>
      </c>
      <c r="AK178">
        <v>8.6</v>
      </c>
      <c r="AL178">
        <v>1.44</v>
      </c>
      <c r="AM178">
        <v>4</v>
      </c>
      <c r="AN178">
        <v>8</v>
      </c>
      <c r="AO178">
        <v>1.44</v>
      </c>
      <c r="AP178">
        <v>4</v>
      </c>
      <c r="AQ178">
        <v>7</v>
      </c>
      <c r="AR178">
        <v>1.45</v>
      </c>
      <c r="AS178">
        <v>4.4000000000000004</v>
      </c>
      <c r="AT178">
        <v>8.5</v>
      </c>
      <c r="AU178">
        <v>38</v>
      </c>
      <c r="AV178">
        <v>1.5</v>
      </c>
      <c r="AW178">
        <v>1.45</v>
      </c>
      <c r="AX178">
        <v>4.5199999999999996</v>
      </c>
      <c r="AY178">
        <v>4.1900000000000004</v>
      </c>
      <c r="AZ178">
        <v>8.7100000000000009</v>
      </c>
      <c r="BA178">
        <v>7.57</v>
      </c>
      <c r="BB178">
        <v>37</v>
      </c>
      <c r="BC178">
        <v>1.95</v>
      </c>
      <c r="BD178">
        <v>1.89</v>
      </c>
      <c r="BE178">
        <v>1.97</v>
      </c>
      <c r="BF178">
        <v>1.89</v>
      </c>
      <c r="BG178">
        <v>20</v>
      </c>
      <c r="BH178">
        <v>-1</v>
      </c>
      <c r="BI178">
        <v>1.8</v>
      </c>
      <c r="BJ178">
        <v>1.76</v>
      </c>
      <c r="BK178">
        <v>2.2000000000000002</v>
      </c>
      <c r="BL178">
        <v>2.12</v>
      </c>
      <c r="BM178">
        <v>1.47</v>
      </c>
      <c r="BN178">
        <v>4.3600000000000003</v>
      </c>
      <c r="BO178">
        <v>9.14</v>
      </c>
    </row>
    <row r="179" spans="1:67">
      <c r="A179" t="s">
        <v>63</v>
      </c>
      <c r="B179" s="77">
        <v>41645</v>
      </c>
      <c r="C179" t="s">
        <v>79</v>
      </c>
      <c r="D179" t="s">
        <v>64</v>
      </c>
      <c r="E179">
        <v>2</v>
      </c>
      <c r="F179">
        <v>0</v>
      </c>
      <c r="G179" t="s">
        <v>70</v>
      </c>
      <c r="H179">
        <v>0</v>
      </c>
      <c r="I179">
        <v>0</v>
      </c>
      <c r="J179" t="s">
        <v>67</v>
      </c>
      <c r="K179">
        <v>19</v>
      </c>
      <c r="L179">
        <v>15</v>
      </c>
      <c r="M179">
        <v>6</v>
      </c>
      <c r="N179">
        <v>4</v>
      </c>
      <c r="O179">
        <v>13</v>
      </c>
      <c r="P179">
        <v>14</v>
      </c>
      <c r="Q179">
        <v>7</v>
      </c>
      <c r="R179">
        <v>1</v>
      </c>
      <c r="S179">
        <v>3</v>
      </c>
      <c r="T179">
        <v>3</v>
      </c>
      <c r="U179">
        <v>0</v>
      </c>
      <c r="V179">
        <v>0</v>
      </c>
      <c r="W179">
        <v>1.36</v>
      </c>
      <c r="X179">
        <v>4.75</v>
      </c>
      <c r="Y179">
        <v>8</v>
      </c>
      <c r="Z179">
        <v>1.35</v>
      </c>
      <c r="AA179">
        <v>5</v>
      </c>
      <c r="AB179">
        <v>8.25</v>
      </c>
      <c r="AC179">
        <v>1.4</v>
      </c>
      <c r="AD179">
        <v>4.4000000000000004</v>
      </c>
      <c r="AE179">
        <v>7.3</v>
      </c>
      <c r="AF179">
        <v>1.4</v>
      </c>
      <c r="AG179">
        <v>4.5</v>
      </c>
      <c r="AH179">
        <v>8</v>
      </c>
      <c r="AI179">
        <v>1.37</v>
      </c>
      <c r="AJ179">
        <v>5.13</v>
      </c>
      <c r="AK179">
        <v>10.31</v>
      </c>
      <c r="AL179">
        <v>1.4</v>
      </c>
      <c r="AM179">
        <v>4.2</v>
      </c>
      <c r="AN179">
        <v>9</v>
      </c>
      <c r="AO179">
        <v>1.36</v>
      </c>
      <c r="AP179">
        <v>4.8</v>
      </c>
      <c r="AQ179">
        <v>7.5</v>
      </c>
      <c r="AR179">
        <v>1.4</v>
      </c>
      <c r="AS179">
        <v>5</v>
      </c>
      <c r="AT179">
        <v>9.5</v>
      </c>
      <c r="AU179">
        <v>39</v>
      </c>
      <c r="AV179">
        <v>1.4</v>
      </c>
      <c r="AW179">
        <v>1.37</v>
      </c>
      <c r="AX179">
        <v>5.13</v>
      </c>
      <c r="AY179">
        <v>4.72</v>
      </c>
      <c r="AZ179">
        <v>10.37</v>
      </c>
      <c r="BA179">
        <v>8.5500000000000007</v>
      </c>
      <c r="BB179">
        <v>37</v>
      </c>
      <c r="BC179">
        <v>1.75</v>
      </c>
      <c r="BD179">
        <v>1.68</v>
      </c>
      <c r="BE179">
        <v>2.2599999999999998</v>
      </c>
      <c r="BF179">
        <v>2.15</v>
      </c>
      <c r="BG179">
        <v>19</v>
      </c>
      <c r="BH179">
        <v>-1.5</v>
      </c>
      <c r="BI179">
        <v>2.16</v>
      </c>
      <c r="BJ179">
        <v>2.1</v>
      </c>
      <c r="BK179">
        <v>1.82</v>
      </c>
      <c r="BL179">
        <v>1.77</v>
      </c>
      <c r="BM179">
        <v>1.41</v>
      </c>
      <c r="BN179">
        <v>4.97</v>
      </c>
      <c r="BO179">
        <v>9.1300000000000008</v>
      </c>
    </row>
    <row r="180" spans="1:67">
      <c r="A180" t="s">
        <v>63</v>
      </c>
      <c r="B180" s="77">
        <v>41645</v>
      </c>
      <c r="C180" t="s">
        <v>81</v>
      </c>
      <c r="D180" t="s">
        <v>83</v>
      </c>
      <c r="E180">
        <v>3</v>
      </c>
      <c r="F180">
        <v>1</v>
      </c>
      <c r="G180" t="s">
        <v>70</v>
      </c>
      <c r="H180">
        <v>2</v>
      </c>
      <c r="I180">
        <v>1</v>
      </c>
      <c r="J180" t="s">
        <v>70</v>
      </c>
      <c r="K180">
        <v>17</v>
      </c>
      <c r="L180">
        <v>14</v>
      </c>
      <c r="M180">
        <v>5</v>
      </c>
      <c r="N180">
        <v>4</v>
      </c>
      <c r="O180">
        <v>17</v>
      </c>
      <c r="P180">
        <v>6</v>
      </c>
      <c r="Q180">
        <v>9</v>
      </c>
      <c r="R180">
        <v>4</v>
      </c>
      <c r="S180">
        <v>1</v>
      </c>
      <c r="T180">
        <v>2</v>
      </c>
      <c r="U180">
        <v>0</v>
      </c>
      <c r="V180">
        <v>0</v>
      </c>
      <c r="W180">
        <v>2.0499999999999998</v>
      </c>
      <c r="X180">
        <v>3.3</v>
      </c>
      <c r="Y180">
        <v>3.6</v>
      </c>
      <c r="Z180">
        <v>2.0499999999999998</v>
      </c>
      <c r="AA180">
        <v>3.25</v>
      </c>
      <c r="AB180">
        <v>3.7</v>
      </c>
      <c r="AC180">
        <v>2.1</v>
      </c>
      <c r="AD180">
        <v>3.2</v>
      </c>
      <c r="AE180">
        <v>3.4</v>
      </c>
      <c r="AF180">
        <v>2.0499999999999998</v>
      </c>
      <c r="AG180">
        <v>3.3</v>
      </c>
      <c r="AH180">
        <v>3.6</v>
      </c>
      <c r="AI180">
        <v>2.08</v>
      </c>
      <c r="AJ180">
        <v>3.44</v>
      </c>
      <c r="AK180">
        <v>4.0199999999999996</v>
      </c>
      <c r="AL180">
        <v>2.1</v>
      </c>
      <c r="AM180">
        <v>3.1</v>
      </c>
      <c r="AN180">
        <v>3.8</v>
      </c>
      <c r="AO180">
        <v>2</v>
      </c>
      <c r="AP180">
        <v>3.25</v>
      </c>
      <c r="AQ180">
        <v>3.6</v>
      </c>
      <c r="AR180">
        <v>2.1</v>
      </c>
      <c r="AS180">
        <v>3.3</v>
      </c>
      <c r="AT180">
        <v>3.9</v>
      </c>
      <c r="AU180">
        <v>38</v>
      </c>
      <c r="AV180">
        <v>2.12</v>
      </c>
      <c r="AW180">
        <v>2.0499999999999998</v>
      </c>
      <c r="AX180">
        <v>3.44</v>
      </c>
      <c r="AY180">
        <v>3.27</v>
      </c>
      <c r="AZ180">
        <v>4.07</v>
      </c>
      <c r="BA180">
        <v>3.74</v>
      </c>
      <c r="BB180">
        <v>37</v>
      </c>
      <c r="BC180">
        <v>2.17</v>
      </c>
      <c r="BD180">
        <v>2.0499999999999998</v>
      </c>
      <c r="BE180">
        <v>1.8</v>
      </c>
      <c r="BF180">
        <v>1.74</v>
      </c>
      <c r="BG180">
        <v>17</v>
      </c>
      <c r="BH180">
        <v>-0.5</v>
      </c>
      <c r="BI180">
        <v>2.1</v>
      </c>
      <c r="BJ180">
        <v>2.0499999999999998</v>
      </c>
      <c r="BK180">
        <v>1.87</v>
      </c>
      <c r="BL180">
        <v>1.83</v>
      </c>
      <c r="BM180">
        <v>2.21</v>
      </c>
      <c r="BN180">
        <v>3.26</v>
      </c>
      <c r="BO180">
        <v>3.84</v>
      </c>
    </row>
    <row r="181" spans="1:67">
      <c r="A181" t="s">
        <v>63</v>
      </c>
      <c r="B181" s="77">
        <v>41645</v>
      </c>
      <c r="C181" t="s">
        <v>76</v>
      </c>
      <c r="D181" t="s">
        <v>68</v>
      </c>
      <c r="E181">
        <v>1</v>
      </c>
      <c r="F181">
        <v>3</v>
      </c>
      <c r="G181" t="s">
        <v>66</v>
      </c>
      <c r="H181">
        <v>1</v>
      </c>
      <c r="I181">
        <v>2</v>
      </c>
      <c r="J181" t="s">
        <v>66</v>
      </c>
      <c r="K181">
        <v>23</v>
      </c>
      <c r="L181">
        <v>8</v>
      </c>
      <c r="M181">
        <v>3</v>
      </c>
      <c r="N181">
        <v>3</v>
      </c>
      <c r="O181">
        <v>10</v>
      </c>
      <c r="P181">
        <v>13</v>
      </c>
      <c r="Q181">
        <v>4</v>
      </c>
      <c r="R181">
        <v>4</v>
      </c>
      <c r="S181">
        <v>0</v>
      </c>
      <c r="T181">
        <v>2</v>
      </c>
      <c r="U181">
        <v>0</v>
      </c>
      <c r="V181">
        <v>0</v>
      </c>
      <c r="W181">
        <v>1.8</v>
      </c>
      <c r="X181">
        <v>3.4</v>
      </c>
      <c r="Y181">
        <v>4.75</v>
      </c>
      <c r="Z181">
        <v>1.83</v>
      </c>
      <c r="AA181">
        <v>3.5</v>
      </c>
      <c r="AB181">
        <v>4.25</v>
      </c>
      <c r="AC181">
        <v>1.8</v>
      </c>
      <c r="AD181">
        <v>3.5</v>
      </c>
      <c r="AE181">
        <v>4.2</v>
      </c>
      <c r="AF181">
        <v>1.86</v>
      </c>
      <c r="AG181">
        <v>3.4</v>
      </c>
      <c r="AH181">
        <v>4</v>
      </c>
      <c r="AI181">
        <v>1.83</v>
      </c>
      <c r="AJ181">
        <v>3.63</v>
      </c>
      <c r="AK181">
        <v>5.0199999999999996</v>
      </c>
      <c r="AL181">
        <v>1.83</v>
      </c>
      <c r="AM181">
        <v>3.3</v>
      </c>
      <c r="AN181">
        <v>4.5</v>
      </c>
      <c r="AO181">
        <v>1.8</v>
      </c>
      <c r="AP181">
        <v>3.4</v>
      </c>
      <c r="AQ181">
        <v>4.5</v>
      </c>
      <c r="AR181">
        <v>1.85</v>
      </c>
      <c r="AS181">
        <v>3.5</v>
      </c>
      <c r="AT181">
        <v>4.8</v>
      </c>
      <c r="AU181">
        <v>38</v>
      </c>
      <c r="AV181">
        <v>1.87</v>
      </c>
      <c r="AW181">
        <v>1.82</v>
      </c>
      <c r="AX181">
        <v>3.63</v>
      </c>
      <c r="AY181">
        <v>3.43</v>
      </c>
      <c r="AZ181">
        <v>5.0199999999999996</v>
      </c>
      <c r="BA181">
        <v>4.58</v>
      </c>
      <c r="BB181">
        <v>37</v>
      </c>
      <c r="BC181">
        <v>2.11</v>
      </c>
      <c r="BD181">
        <v>2</v>
      </c>
      <c r="BE181">
        <v>1.87</v>
      </c>
      <c r="BF181">
        <v>1.78</v>
      </c>
      <c r="BG181">
        <v>17</v>
      </c>
      <c r="BH181">
        <v>-0.5</v>
      </c>
      <c r="BI181">
        <v>1.88</v>
      </c>
      <c r="BJ181">
        <v>1.81</v>
      </c>
      <c r="BK181">
        <v>2.12</v>
      </c>
      <c r="BL181">
        <v>2.0699999999999998</v>
      </c>
      <c r="BM181">
        <v>1.73</v>
      </c>
      <c r="BN181">
        <v>3.7</v>
      </c>
      <c r="BO181">
        <v>5.82</v>
      </c>
    </row>
    <row r="182" spans="1:67">
      <c r="A182" t="s">
        <v>63</v>
      </c>
      <c r="B182" s="77">
        <v>41650</v>
      </c>
      <c r="C182" t="s">
        <v>80</v>
      </c>
      <c r="D182" t="s">
        <v>75</v>
      </c>
      <c r="E182">
        <v>0</v>
      </c>
      <c r="F182">
        <v>0</v>
      </c>
      <c r="G182" t="s">
        <v>67</v>
      </c>
      <c r="H182">
        <v>0</v>
      </c>
      <c r="I182">
        <v>0</v>
      </c>
      <c r="J182" t="s">
        <v>67</v>
      </c>
      <c r="K182">
        <v>12</v>
      </c>
      <c r="L182">
        <v>2</v>
      </c>
      <c r="M182">
        <v>4</v>
      </c>
      <c r="N182">
        <v>0</v>
      </c>
      <c r="O182">
        <v>8</v>
      </c>
      <c r="P182">
        <v>13</v>
      </c>
      <c r="Q182">
        <v>1</v>
      </c>
      <c r="R182">
        <v>3</v>
      </c>
      <c r="S182">
        <v>2</v>
      </c>
      <c r="T182">
        <v>2</v>
      </c>
      <c r="U182">
        <v>0</v>
      </c>
      <c r="V182">
        <v>0</v>
      </c>
      <c r="W182">
        <v>3.1</v>
      </c>
      <c r="X182">
        <v>3.1</v>
      </c>
      <c r="Y182">
        <v>2.38</v>
      </c>
      <c r="Z182">
        <v>3</v>
      </c>
      <c r="AA182">
        <v>3.2</v>
      </c>
      <c r="AB182">
        <v>2.4</v>
      </c>
      <c r="AC182">
        <v>2.85</v>
      </c>
      <c r="AD182">
        <v>3.2</v>
      </c>
      <c r="AE182">
        <v>2.4</v>
      </c>
      <c r="AF182">
        <v>3</v>
      </c>
      <c r="AG182">
        <v>3.25</v>
      </c>
      <c r="AH182">
        <v>2.37</v>
      </c>
      <c r="AI182">
        <v>3.24</v>
      </c>
      <c r="AJ182">
        <v>3.21</v>
      </c>
      <c r="AK182">
        <v>2.5</v>
      </c>
      <c r="AL182">
        <v>3</v>
      </c>
      <c r="AM182">
        <v>3</v>
      </c>
      <c r="AN182">
        <v>2.5</v>
      </c>
      <c r="AO182">
        <v>3</v>
      </c>
      <c r="AP182">
        <v>3.13</v>
      </c>
      <c r="AQ182">
        <v>2.38</v>
      </c>
      <c r="AR182">
        <v>3.25</v>
      </c>
      <c r="AS182">
        <v>3.12</v>
      </c>
      <c r="AT182">
        <v>2.4500000000000002</v>
      </c>
      <c r="AU182">
        <v>43</v>
      </c>
      <c r="AV182">
        <v>3.3</v>
      </c>
      <c r="AW182">
        <v>3.05</v>
      </c>
      <c r="AX182">
        <v>3.3</v>
      </c>
      <c r="AY182">
        <v>3.16</v>
      </c>
      <c r="AZ182">
        <v>2.5099999999999998</v>
      </c>
      <c r="BA182">
        <v>2.41</v>
      </c>
      <c r="BB182">
        <v>39</v>
      </c>
      <c r="BC182">
        <v>2.2999999999999998</v>
      </c>
      <c r="BD182">
        <v>2.17</v>
      </c>
      <c r="BE182">
        <v>1.75</v>
      </c>
      <c r="BF182">
        <v>1.66</v>
      </c>
      <c r="BG182">
        <v>20</v>
      </c>
      <c r="BH182">
        <v>0</v>
      </c>
      <c r="BI182">
        <v>2.2599999999999998</v>
      </c>
      <c r="BJ182">
        <v>2.16</v>
      </c>
      <c r="BK182">
        <v>1.78</v>
      </c>
      <c r="BL182">
        <v>1.72</v>
      </c>
      <c r="BM182">
        <v>3.35</v>
      </c>
      <c r="BN182">
        <v>3.44</v>
      </c>
      <c r="BO182">
        <v>2.3199999999999998</v>
      </c>
    </row>
    <row r="183" spans="1:67">
      <c r="A183" t="s">
        <v>63</v>
      </c>
      <c r="B183" s="77">
        <v>41650</v>
      </c>
      <c r="C183" t="s">
        <v>77</v>
      </c>
      <c r="D183" t="s">
        <v>81</v>
      </c>
      <c r="E183">
        <v>0</v>
      </c>
      <c r="F183">
        <v>3</v>
      </c>
      <c r="G183" t="s">
        <v>66</v>
      </c>
      <c r="H183">
        <v>0</v>
      </c>
      <c r="I183">
        <v>1</v>
      </c>
      <c r="J183" t="s">
        <v>66</v>
      </c>
      <c r="K183">
        <v>19</v>
      </c>
      <c r="L183">
        <v>9</v>
      </c>
      <c r="M183">
        <v>5</v>
      </c>
      <c r="N183">
        <v>5</v>
      </c>
      <c r="O183">
        <v>13</v>
      </c>
      <c r="P183">
        <v>21</v>
      </c>
      <c r="Q183">
        <v>6</v>
      </c>
      <c r="R183">
        <v>6</v>
      </c>
      <c r="S183">
        <v>1</v>
      </c>
      <c r="T183">
        <v>1</v>
      </c>
      <c r="U183">
        <v>0</v>
      </c>
      <c r="V183">
        <v>0</v>
      </c>
      <c r="W183">
        <v>3</v>
      </c>
      <c r="X183">
        <v>3.2</v>
      </c>
      <c r="Y183">
        <v>2.38</v>
      </c>
      <c r="Z183">
        <v>3</v>
      </c>
      <c r="AA183">
        <v>3.25</v>
      </c>
      <c r="AB183">
        <v>2.35</v>
      </c>
      <c r="AC183">
        <v>2.8</v>
      </c>
      <c r="AD183">
        <v>3.2</v>
      </c>
      <c r="AE183">
        <v>2.4500000000000002</v>
      </c>
      <c r="AF183">
        <v>2.9</v>
      </c>
      <c r="AG183">
        <v>3.25</v>
      </c>
      <c r="AH183">
        <v>2.4</v>
      </c>
      <c r="AI183">
        <v>3.24</v>
      </c>
      <c r="AJ183">
        <v>3.24</v>
      </c>
      <c r="AK183">
        <v>2.48</v>
      </c>
      <c r="AL183">
        <v>3</v>
      </c>
      <c r="AM183">
        <v>3</v>
      </c>
      <c r="AN183">
        <v>2.5</v>
      </c>
      <c r="AO183">
        <v>3</v>
      </c>
      <c r="AP183">
        <v>3.2</v>
      </c>
      <c r="AQ183">
        <v>2.2999999999999998</v>
      </c>
      <c r="AR183">
        <v>3.2</v>
      </c>
      <c r="AS183">
        <v>3.25</v>
      </c>
      <c r="AT183">
        <v>2.4500000000000002</v>
      </c>
      <c r="AU183">
        <v>42</v>
      </c>
      <c r="AV183">
        <v>3.3</v>
      </c>
      <c r="AW183">
        <v>3.03</v>
      </c>
      <c r="AX183">
        <v>3.35</v>
      </c>
      <c r="AY183">
        <v>3.2</v>
      </c>
      <c r="AZ183">
        <v>2.5</v>
      </c>
      <c r="BA183">
        <v>2.39</v>
      </c>
      <c r="BB183">
        <v>39</v>
      </c>
      <c r="BC183">
        <v>2.21</v>
      </c>
      <c r="BD183">
        <v>2.11</v>
      </c>
      <c r="BE183">
        <v>1.8</v>
      </c>
      <c r="BF183">
        <v>1.7</v>
      </c>
      <c r="BG183">
        <v>20</v>
      </c>
      <c r="BH183">
        <v>0</v>
      </c>
      <c r="BI183">
        <v>2.2799999999999998</v>
      </c>
      <c r="BJ183">
        <v>2.2000000000000002</v>
      </c>
      <c r="BK183">
        <v>1.75</v>
      </c>
      <c r="BL183">
        <v>1.69</v>
      </c>
      <c r="BM183">
        <v>3.39</v>
      </c>
      <c r="BN183">
        <v>3.36</v>
      </c>
      <c r="BO183">
        <v>2.34</v>
      </c>
    </row>
    <row r="184" spans="1:67">
      <c r="A184" t="s">
        <v>63</v>
      </c>
      <c r="B184" s="77">
        <v>41651</v>
      </c>
      <c r="C184" t="s">
        <v>72</v>
      </c>
      <c r="D184" t="s">
        <v>86</v>
      </c>
      <c r="E184">
        <v>2</v>
      </c>
      <c r="F184">
        <v>1</v>
      </c>
      <c r="G184" t="s">
        <v>70</v>
      </c>
      <c r="H184">
        <v>0</v>
      </c>
      <c r="I184">
        <v>0</v>
      </c>
      <c r="J184" t="s">
        <v>67</v>
      </c>
      <c r="K184">
        <v>17</v>
      </c>
      <c r="L184">
        <v>12</v>
      </c>
      <c r="M184">
        <v>8</v>
      </c>
      <c r="N184">
        <v>4</v>
      </c>
      <c r="O184">
        <v>13</v>
      </c>
      <c r="P184">
        <v>13</v>
      </c>
      <c r="Q184">
        <v>8</v>
      </c>
      <c r="R184">
        <v>10</v>
      </c>
      <c r="S184">
        <v>2</v>
      </c>
      <c r="T184">
        <v>3</v>
      </c>
      <c r="U184">
        <v>0</v>
      </c>
      <c r="V184">
        <v>0</v>
      </c>
      <c r="W184">
        <v>1.85</v>
      </c>
      <c r="X184">
        <v>3.4</v>
      </c>
      <c r="Y184">
        <v>4.33</v>
      </c>
      <c r="Z184">
        <v>1.87</v>
      </c>
      <c r="AA184">
        <v>3.4</v>
      </c>
      <c r="AB184">
        <v>4.25</v>
      </c>
      <c r="AC184">
        <v>1.8</v>
      </c>
      <c r="AD184">
        <v>3.5</v>
      </c>
      <c r="AE184">
        <v>4.2</v>
      </c>
      <c r="AF184">
        <v>1.85</v>
      </c>
      <c r="AG184">
        <v>3.4</v>
      </c>
      <c r="AH184">
        <v>4.33</v>
      </c>
      <c r="AI184">
        <v>1.97</v>
      </c>
      <c r="AJ184">
        <v>3.38</v>
      </c>
      <c r="AK184">
        <v>4.63</v>
      </c>
      <c r="AL184">
        <v>1.95</v>
      </c>
      <c r="AM184">
        <v>3.1</v>
      </c>
      <c r="AN184">
        <v>4.33</v>
      </c>
      <c r="AO184">
        <v>1.9</v>
      </c>
      <c r="AP184">
        <v>3.3</v>
      </c>
      <c r="AQ184">
        <v>4</v>
      </c>
      <c r="AR184">
        <v>1.95</v>
      </c>
      <c r="AS184">
        <v>3.4</v>
      </c>
      <c r="AT184">
        <v>4.4000000000000004</v>
      </c>
      <c r="AU184">
        <v>43</v>
      </c>
      <c r="AV184">
        <v>1.98</v>
      </c>
      <c r="AW184">
        <v>1.91</v>
      </c>
      <c r="AX184">
        <v>3.5</v>
      </c>
      <c r="AY184">
        <v>3.34</v>
      </c>
      <c r="AZ184">
        <v>4.6500000000000004</v>
      </c>
      <c r="BA184">
        <v>4.2300000000000004</v>
      </c>
      <c r="BB184">
        <v>41</v>
      </c>
      <c r="BC184">
        <v>2.23</v>
      </c>
      <c r="BD184">
        <v>2.1</v>
      </c>
      <c r="BE184">
        <v>1.8</v>
      </c>
      <c r="BF184">
        <v>1.71</v>
      </c>
      <c r="BG184">
        <v>20</v>
      </c>
      <c r="BH184">
        <v>-0.5</v>
      </c>
      <c r="BI184">
        <v>1.97</v>
      </c>
      <c r="BJ184">
        <v>1.92</v>
      </c>
      <c r="BK184">
        <v>1.97</v>
      </c>
      <c r="BL184">
        <v>1.93</v>
      </c>
      <c r="BM184">
        <v>2.0499999999999998</v>
      </c>
      <c r="BN184">
        <v>3.54</v>
      </c>
      <c r="BO184">
        <v>3.98</v>
      </c>
    </row>
    <row r="185" spans="1:67">
      <c r="A185" t="s">
        <v>63</v>
      </c>
      <c r="B185" s="77">
        <v>41651</v>
      </c>
      <c r="C185" t="s">
        <v>71</v>
      </c>
      <c r="D185" t="s">
        <v>65</v>
      </c>
      <c r="E185">
        <v>1</v>
      </c>
      <c r="F185">
        <v>4</v>
      </c>
      <c r="G185" t="s">
        <v>66</v>
      </c>
      <c r="H185">
        <v>1</v>
      </c>
      <c r="I185">
        <v>1</v>
      </c>
      <c r="J185" t="s">
        <v>67</v>
      </c>
      <c r="K185">
        <v>8</v>
      </c>
      <c r="L185">
        <v>15</v>
      </c>
      <c r="M185">
        <v>3</v>
      </c>
      <c r="N185">
        <v>9</v>
      </c>
      <c r="O185">
        <v>10</v>
      </c>
      <c r="P185">
        <v>13</v>
      </c>
      <c r="Q185">
        <v>4</v>
      </c>
      <c r="R185">
        <v>4</v>
      </c>
      <c r="S185">
        <v>2</v>
      </c>
      <c r="T185">
        <v>1</v>
      </c>
      <c r="U185">
        <v>1</v>
      </c>
      <c r="V185">
        <v>0</v>
      </c>
      <c r="W185">
        <v>7</v>
      </c>
      <c r="X185">
        <v>4.33</v>
      </c>
      <c r="Y185">
        <v>1.44</v>
      </c>
      <c r="Z185">
        <v>7.5</v>
      </c>
      <c r="AA185">
        <v>4.33</v>
      </c>
      <c r="AB185">
        <v>1.42</v>
      </c>
      <c r="AC185">
        <v>7.3</v>
      </c>
      <c r="AD185">
        <v>4.4000000000000004</v>
      </c>
      <c r="AE185">
        <v>1.4</v>
      </c>
      <c r="AF185">
        <v>7.5</v>
      </c>
      <c r="AG185">
        <v>4.2</v>
      </c>
      <c r="AH185">
        <v>1.44</v>
      </c>
      <c r="AI185">
        <v>9.1999999999999993</v>
      </c>
      <c r="AJ185">
        <v>4.4800000000000004</v>
      </c>
      <c r="AK185">
        <v>1.45</v>
      </c>
      <c r="AL185">
        <v>8</v>
      </c>
      <c r="AM185">
        <v>4</v>
      </c>
      <c r="AN185">
        <v>1.44</v>
      </c>
      <c r="AO185">
        <v>7</v>
      </c>
      <c r="AP185">
        <v>4.33</v>
      </c>
      <c r="AQ185">
        <v>1.44</v>
      </c>
      <c r="AR185">
        <v>8.5</v>
      </c>
      <c r="AS185">
        <v>4.3</v>
      </c>
      <c r="AT185">
        <v>1.45</v>
      </c>
      <c r="AU185">
        <v>43</v>
      </c>
      <c r="AV185">
        <v>10</v>
      </c>
      <c r="AW185">
        <v>7.79</v>
      </c>
      <c r="AX185">
        <v>4.7</v>
      </c>
      <c r="AY185">
        <v>4.25</v>
      </c>
      <c r="AZ185">
        <v>1.48</v>
      </c>
      <c r="BA185">
        <v>1.44</v>
      </c>
      <c r="BB185">
        <v>42</v>
      </c>
      <c r="BC185">
        <v>1.91</v>
      </c>
      <c r="BD185">
        <v>1.83</v>
      </c>
      <c r="BE185">
        <v>2.1</v>
      </c>
      <c r="BF185">
        <v>1.94</v>
      </c>
      <c r="BG185">
        <v>20</v>
      </c>
      <c r="BH185">
        <v>1</v>
      </c>
      <c r="BI185">
        <v>2.34</v>
      </c>
      <c r="BJ185">
        <v>2.17</v>
      </c>
      <c r="BK185">
        <v>1.76</v>
      </c>
      <c r="BL185">
        <v>1.72</v>
      </c>
      <c r="BM185">
        <v>8.52</v>
      </c>
      <c r="BN185">
        <v>4.34</v>
      </c>
      <c r="BO185">
        <v>1.49</v>
      </c>
    </row>
    <row r="186" spans="1:67">
      <c r="A186" t="s">
        <v>63</v>
      </c>
      <c r="B186" s="77">
        <v>41651</v>
      </c>
      <c r="C186" t="s">
        <v>78</v>
      </c>
      <c r="D186" t="s">
        <v>74</v>
      </c>
      <c r="E186">
        <v>4</v>
      </c>
      <c r="F186">
        <v>0</v>
      </c>
      <c r="G186" t="s">
        <v>70</v>
      </c>
      <c r="H186">
        <v>3</v>
      </c>
      <c r="I186">
        <v>0</v>
      </c>
      <c r="J186" t="s">
        <v>70</v>
      </c>
      <c r="K186">
        <v>22</v>
      </c>
      <c r="L186">
        <v>0</v>
      </c>
      <c r="M186">
        <v>8</v>
      </c>
      <c r="N186">
        <v>0</v>
      </c>
      <c r="O186">
        <v>13</v>
      </c>
      <c r="P186">
        <v>7</v>
      </c>
      <c r="Q186">
        <v>4</v>
      </c>
      <c r="R186">
        <v>1</v>
      </c>
      <c r="S186">
        <v>0</v>
      </c>
      <c r="T186">
        <v>2</v>
      </c>
      <c r="U186">
        <v>0</v>
      </c>
      <c r="V186">
        <v>1</v>
      </c>
      <c r="W186">
        <v>1.36</v>
      </c>
      <c r="X186">
        <v>4.5</v>
      </c>
      <c r="Y186">
        <v>9</v>
      </c>
      <c r="Z186">
        <v>1.35</v>
      </c>
      <c r="AA186">
        <v>4.75</v>
      </c>
      <c r="AB186">
        <v>8.5</v>
      </c>
      <c r="AC186">
        <v>1.4</v>
      </c>
      <c r="AD186">
        <v>4.4000000000000004</v>
      </c>
      <c r="AE186">
        <v>7.3</v>
      </c>
      <c r="AF186">
        <v>1.36</v>
      </c>
      <c r="AG186">
        <v>4.5</v>
      </c>
      <c r="AH186">
        <v>9.5</v>
      </c>
      <c r="AI186">
        <v>1.37</v>
      </c>
      <c r="AJ186">
        <v>5.0199999999999996</v>
      </c>
      <c r="AK186">
        <v>10.82</v>
      </c>
      <c r="AL186">
        <v>1.36</v>
      </c>
      <c r="AM186">
        <v>4.33</v>
      </c>
      <c r="AN186">
        <v>10</v>
      </c>
      <c r="AO186">
        <v>1.36</v>
      </c>
      <c r="AP186">
        <v>4.5</v>
      </c>
      <c r="AQ186">
        <v>8.5</v>
      </c>
      <c r="AR186">
        <v>1.36</v>
      </c>
      <c r="AS186">
        <v>4.5999999999999996</v>
      </c>
      <c r="AT186">
        <v>10</v>
      </c>
      <c r="AU186">
        <v>43</v>
      </c>
      <c r="AV186">
        <v>1.41</v>
      </c>
      <c r="AW186">
        <v>1.37</v>
      </c>
      <c r="AX186">
        <v>5.18</v>
      </c>
      <c r="AY186">
        <v>4.59</v>
      </c>
      <c r="AZ186">
        <v>11</v>
      </c>
      <c r="BA186">
        <v>9.23</v>
      </c>
      <c r="BB186">
        <v>42</v>
      </c>
      <c r="BC186">
        <v>1.9</v>
      </c>
      <c r="BD186">
        <v>1.81</v>
      </c>
      <c r="BE186">
        <v>2.08</v>
      </c>
      <c r="BF186">
        <v>1.97</v>
      </c>
      <c r="BG186">
        <v>22</v>
      </c>
      <c r="BH186">
        <v>-1.5</v>
      </c>
      <c r="BI186">
        <v>2.16</v>
      </c>
      <c r="BJ186">
        <v>2.09</v>
      </c>
      <c r="BK186">
        <v>1.85</v>
      </c>
      <c r="BL186">
        <v>1.78</v>
      </c>
      <c r="BM186">
        <v>1.26</v>
      </c>
      <c r="BN186">
        <v>6.06</v>
      </c>
      <c r="BO186">
        <v>15.69</v>
      </c>
    </row>
    <row r="187" spans="1:67">
      <c r="A187" t="s">
        <v>63</v>
      </c>
      <c r="B187" s="77">
        <v>41651</v>
      </c>
      <c r="C187" t="s">
        <v>84</v>
      </c>
      <c r="D187" t="s">
        <v>69</v>
      </c>
      <c r="E187">
        <v>4</v>
      </c>
      <c r="F187">
        <v>3</v>
      </c>
      <c r="G187" t="s">
        <v>70</v>
      </c>
      <c r="H187">
        <v>3</v>
      </c>
      <c r="I187">
        <v>2</v>
      </c>
      <c r="J187" t="s">
        <v>70</v>
      </c>
      <c r="K187">
        <v>12</v>
      </c>
      <c r="L187">
        <v>16</v>
      </c>
      <c r="M187">
        <v>8</v>
      </c>
      <c r="N187">
        <v>7</v>
      </c>
      <c r="O187">
        <v>23</v>
      </c>
      <c r="P187">
        <v>18</v>
      </c>
      <c r="Q187">
        <v>4</v>
      </c>
      <c r="R187">
        <v>3</v>
      </c>
      <c r="S187">
        <v>5</v>
      </c>
      <c r="T187">
        <v>3</v>
      </c>
      <c r="U187">
        <v>0</v>
      </c>
      <c r="V187">
        <v>0</v>
      </c>
      <c r="W187">
        <v>5</v>
      </c>
      <c r="X187">
        <v>3.6</v>
      </c>
      <c r="Y187">
        <v>1.7</v>
      </c>
      <c r="Z187">
        <v>5</v>
      </c>
      <c r="AA187">
        <v>3.6</v>
      </c>
      <c r="AB187">
        <v>1.7</v>
      </c>
      <c r="AC187">
        <v>4.7</v>
      </c>
      <c r="AD187">
        <v>3.6</v>
      </c>
      <c r="AE187">
        <v>1.7</v>
      </c>
      <c r="AF187">
        <v>4.8</v>
      </c>
      <c r="AG187">
        <v>3.6</v>
      </c>
      <c r="AH187">
        <v>1.75</v>
      </c>
      <c r="AI187">
        <v>5.49</v>
      </c>
      <c r="AJ187">
        <v>3.82</v>
      </c>
      <c r="AK187">
        <v>1.74</v>
      </c>
      <c r="AL187">
        <v>5.5</v>
      </c>
      <c r="AM187">
        <v>3.2</v>
      </c>
      <c r="AN187">
        <v>1.75</v>
      </c>
      <c r="AO187">
        <v>5</v>
      </c>
      <c r="AP187">
        <v>3.5</v>
      </c>
      <c r="AQ187">
        <v>1.73</v>
      </c>
      <c r="AR187">
        <v>5.25</v>
      </c>
      <c r="AS187">
        <v>3.6</v>
      </c>
      <c r="AT187">
        <v>1.75</v>
      </c>
      <c r="AU187">
        <v>43</v>
      </c>
      <c r="AV187">
        <v>5.9</v>
      </c>
      <c r="AW187">
        <v>5.07</v>
      </c>
      <c r="AX187">
        <v>3.83</v>
      </c>
      <c r="AY187">
        <v>3.56</v>
      </c>
      <c r="AZ187">
        <v>1.77</v>
      </c>
      <c r="BA187">
        <v>1.72</v>
      </c>
      <c r="BB187">
        <v>42</v>
      </c>
      <c r="BC187">
        <v>1.9</v>
      </c>
      <c r="BD187">
        <v>1.82</v>
      </c>
      <c r="BE187">
        <v>2.1</v>
      </c>
      <c r="BF187">
        <v>1.96</v>
      </c>
      <c r="BG187">
        <v>19</v>
      </c>
      <c r="BH187">
        <v>0.75</v>
      </c>
      <c r="BI187">
        <v>2.0099999999999998</v>
      </c>
      <c r="BJ187">
        <v>1.94</v>
      </c>
      <c r="BK187">
        <v>1.97</v>
      </c>
      <c r="BL187">
        <v>1.92</v>
      </c>
      <c r="BM187">
        <v>5.93</v>
      </c>
      <c r="BN187">
        <v>3.99</v>
      </c>
      <c r="BO187">
        <v>1.66</v>
      </c>
    </row>
    <row r="188" spans="1:67">
      <c r="A188" t="s">
        <v>63</v>
      </c>
      <c r="B188" s="77">
        <v>41651</v>
      </c>
      <c r="C188" t="s">
        <v>83</v>
      </c>
      <c r="D188" t="s">
        <v>85</v>
      </c>
      <c r="E188">
        <v>0</v>
      </c>
      <c r="F188">
        <v>0</v>
      </c>
      <c r="G188" t="s">
        <v>67</v>
      </c>
      <c r="H188">
        <v>0</v>
      </c>
      <c r="I188">
        <v>0</v>
      </c>
      <c r="J188" t="s">
        <v>67</v>
      </c>
      <c r="K188">
        <v>6</v>
      </c>
      <c r="L188">
        <v>16</v>
      </c>
      <c r="M188">
        <v>5</v>
      </c>
      <c r="N188">
        <v>2</v>
      </c>
      <c r="O188">
        <v>9</v>
      </c>
      <c r="P188">
        <v>10</v>
      </c>
      <c r="Q188">
        <v>7</v>
      </c>
      <c r="R188">
        <v>5</v>
      </c>
      <c r="S188">
        <v>0</v>
      </c>
      <c r="T188">
        <v>1</v>
      </c>
      <c r="U188">
        <v>0</v>
      </c>
      <c r="V188">
        <v>0</v>
      </c>
      <c r="W188">
        <v>2.8</v>
      </c>
      <c r="X188">
        <v>3.3</v>
      </c>
      <c r="Y188">
        <v>2.5</v>
      </c>
      <c r="Z188">
        <v>2.85</v>
      </c>
      <c r="AA188">
        <v>3.2</v>
      </c>
      <c r="AB188">
        <v>2.5</v>
      </c>
      <c r="AC188">
        <v>3</v>
      </c>
      <c r="AD188">
        <v>3.2</v>
      </c>
      <c r="AE188">
        <v>2.2999999999999998</v>
      </c>
      <c r="AF188">
        <v>2.8</v>
      </c>
      <c r="AG188">
        <v>3.25</v>
      </c>
      <c r="AH188">
        <v>2.5</v>
      </c>
      <c r="AI188">
        <v>3.02</v>
      </c>
      <c r="AJ188">
        <v>3.3</v>
      </c>
      <c r="AK188">
        <v>2.59</v>
      </c>
      <c r="AL188">
        <v>2.9</v>
      </c>
      <c r="AM188">
        <v>3</v>
      </c>
      <c r="AN188">
        <v>2.62</v>
      </c>
      <c r="AO188">
        <v>2.88</v>
      </c>
      <c r="AP188">
        <v>3.13</v>
      </c>
      <c r="AQ188">
        <v>2.4</v>
      </c>
      <c r="AR188">
        <v>3</v>
      </c>
      <c r="AS188">
        <v>3.3</v>
      </c>
      <c r="AT188">
        <v>2.5499999999999998</v>
      </c>
      <c r="AU188">
        <v>43</v>
      </c>
      <c r="AV188">
        <v>3.05</v>
      </c>
      <c r="AW188">
        <v>2.89</v>
      </c>
      <c r="AX188">
        <v>3.3</v>
      </c>
      <c r="AY188">
        <v>3.19</v>
      </c>
      <c r="AZ188">
        <v>2.66</v>
      </c>
      <c r="BA188">
        <v>2.5</v>
      </c>
      <c r="BB188">
        <v>42</v>
      </c>
      <c r="BC188">
        <v>2.0499999999999998</v>
      </c>
      <c r="BD188">
        <v>1.96</v>
      </c>
      <c r="BE188">
        <v>1.94</v>
      </c>
      <c r="BF188">
        <v>1.82</v>
      </c>
      <c r="BG188">
        <v>21</v>
      </c>
      <c r="BH188">
        <v>0</v>
      </c>
      <c r="BI188">
        <v>2.15</v>
      </c>
      <c r="BJ188">
        <v>2.0699999999999998</v>
      </c>
      <c r="BK188">
        <v>1.83</v>
      </c>
      <c r="BL188">
        <v>1.79</v>
      </c>
      <c r="BM188">
        <v>3.14</v>
      </c>
      <c r="BN188">
        <v>3.31</v>
      </c>
      <c r="BO188">
        <v>2.5</v>
      </c>
    </row>
    <row r="189" spans="1:67">
      <c r="A189" t="s">
        <v>63</v>
      </c>
      <c r="B189" s="77">
        <v>41651</v>
      </c>
      <c r="C189" t="s">
        <v>68</v>
      </c>
      <c r="D189" t="s">
        <v>79</v>
      </c>
      <c r="E189">
        <v>0</v>
      </c>
      <c r="F189">
        <v>3</v>
      </c>
      <c r="G189" t="s">
        <v>66</v>
      </c>
      <c r="H189">
        <v>0</v>
      </c>
      <c r="I189">
        <v>1</v>
      </c>
      <c r="J189" t="s">
        <v>66</v>
      </c>
      <c r="K189">
        <v>11</v>
      </c>
      <c r="L189">
        <v>15</v>
      </c>
      <c r="M189">
        <v>2</v>
      </c>
      <c r="N189">
        <v>8</v>
      </c>
      <c r="O189">
        <v>21</v>
      </c>
      <c r="P189">
        <v>19</v>
      </c>
      <c r="Q189">
        <v>4</v>
      </c>
      <c r="R189">
        <v>3</v>
      </c>
      <c r="S189">
        <v>1</v>
      </c>
      <c r="T189">
        <v>1</v>
      </c>
      <c r="U189">
        <v>0</v>
      </c>
      <c r="V189">
        <v>0</v>
      </c>
      <c r="W189">
        <v>3.8</v>
      </c>
      <c r="X189">
        <v>3.5</v>
      </c>
      <c r="Y189">
        <v>1.95</v>
      </c>
      <c r="Z189">
        <v>3.9</v>
      </c>
      <c r="AA189">
        <v>3.4</v>
      </c>
      <c r="AB189">
        <v>1.95</v>
      </c>
      <c r="AC189">
        <v>3.3</v>
      </c>
      <c r="AD189">
        <v>3.3</v>
      </c>
      <c r="AE189">
        <v>2.1</v>
      </c>
      <c r="AF189">
        <v>3.75</v>
      </c>
      <c r="AG189">
        <v>3.5</v>
      </c>
      <c r="AH189">
        <v>1.95</v>
      </c>
      <c r="AI189">
        <v>4.09</v>
      </c>
      <c r="AJ189">
        <v>3.51</v>
      </c>
      <c r="AK189">
        <v>2.04</v>
      </c>
      <c r="AL189">
        <v>3.8</v>
      </c>
      <c r="AM189">
        <v>3.2</v>
      </c>
      <c r="AN189">
        <v>2.0499999999999998</v>
      </c>
      <c r="AO189">
        <v>3.75</v>
      </c>
      <c r="AP189">
        <v>3.3</v>
      </c>
      <c r="AQ189">
        <v>1.95</v>
      </c>
      <c r="AR189">
        <v>3.75</v>
      </c>
      <c r="AS189">
        <v>3.5</v>
      </c>
      <c r="AT189">
        <v>2.0499999999999998</v>
      </c>
      <c r="AU189">
        <v>43</v>
      </c>
      <c r="AV189">
        <v>4.25</v>
      </c>
      <c r="AW189">
        <v>3.79</v>
      </c>
      <c r="AX189">
        <v>3.6</v>
      </c>
      <c r="AY189">
        <v>3.41</v>
      </c>
      <c r="AZ189">
        <v>2.1</v>
      </c>
      <c r="BA189">
        <v>1.99</v>
      </c>
      <c r="BB189">
        <v>40</v>
      </c>
      <c r="BC189">
        <v>1.8</v>
      </c>
      <c r="BD189">
        <v>1.68</v>
      </c>
      <c r="BE189">
        <v>2.2999999999999998</v>
      </c>
      <c r="BF189">
        <v>2.14</v>
      </c>
      <c r="BG189">
        <v>20</v>
      </c>
      <c r="BH189">
        <v>0.5</v>
      </c>
      <c r="BI189">
        <v>1.94</v>
      </c>
      <c r="BJ189">
        <v>1.87</v>
      </c>
      <c r="BK189">
        <v>2.0499999999999998</v>
      </c>
      <c r="BL189">
        <v>1.99</v>
      </c>
      <c r="BM189">
        <v>3.89</v>
      </c>
      <c r="BN189">
        <v>3.58</v>
      </c>
      <c r="BO189">
        <v>2.06</v>
      </c>
    </row>
    <row r="190" spans="1:67">
      <c r="A190" t="s">
        <v>63</v>
      </c>
      <c r="B190" s="77">
        <v>41652</v>
      </c>
      <c r="C190" t="s">
        <v>73</v>
      </c>
      <c r="D190" t="s">
        <v>82</v>
      </c>
      <c r="E190">
        <v>1</v>
      </c>
      <c r="F190">
        <v>1</v>
      </c>
      <c r="G190" t="s">
        <v>67</v>
      </c>
      <c r="H190">
        <v>1</v>
      </c>
      <c r="I190">
        <v>1</v>
      </c>
      <c r="J190" t="s">
        <v>67</v>
      </c>
      <c r="K190">
        <v>9</v>
      </c>
      <c r="L190">
        <v>9</v>
      </c>
      <c r="M190">
        <v>5</v>
      </c>
      <c r="N190">
        <v>1</v>
      </c>
      <c r="O190">
        <v>10</v>
      </c>
      <c r="P190">
        <v>13</v>
      </c>
      <c r="Q190">
        <v>6</v>
      </c>
      <c r="R190">
        <v>3</v>
      </c>
      <c r="S190">
        <v>1</v>
      </c>
      <c r="T190">
        <v>1</v>
      </c>
      <c r="U190">
        <v>0</v>
      </c>
      <c r="V190">
        <v>0</v>
      </c>
      <c r="W190">
        <v>1.44</v>
      </c>
      <c r="X190">
        <v>4.33</v>
      </c>
      <c r="Y190">
        <v>7</v>
      </c>
      <c r="Z190">
        <v>1.42</v>
      </c>
      <c r="AA190">
        <v>4.33</v>
      </c>
      <c r="AB190">
        <v>7.5</v>
      </c>
      <c r="AC190">
        <v>1.4</v>
      </c>
      <c r="AD190">
        <v>4.4000000000000004</v>
      </c>
      <c r="AE190">
        <v>7.3</v>
      </c>
      <c r="AF190">
        <v>1.44</v>
      </c>
      <c r="AG190">
        <v>4.33</v>
      </c>
      <c r="AH190">
        <v>7</v>
      </c>
      <c r="AI190">
        <v>1.47</v>
      </c>
      <c r="AJ190">
        <v>4.5599999999999996</v>
      </c>
      <c r="AK190">
        <v>8.36</v>
      </c>
      <c r="AL190">
        <v>1.44</v>
      </c>
      <c r="AM190">
        <v>4</v>
      </c>
      <c r="AN190">
        <v>8</v>
      </c>
      <c r="AO190">
        <v>1.44</v>
      </c>
      <c r="AP190">
        <v>4.33</v>
      </c>
      <c r="AQ190">
        <v>7</v>
      </c>
      <c r="AR190">
        <v>1.45</v>
      </c>
      <c r="AS190">
        <v>4.4000000000000004</v>
      </c>
      <c r="AT190">
        <v>8</v>
      </c>
      <c r="AU190">
        <v>40</v>
      </c>
      <c r="AV190">
        <v>1.5</v>
      </c>
      <c r="AW190">
        <v>1.44</v>
      </c>
      <c r="AX190">
        <v>4.8499999999999996</v>
      </c>
      <c r="AY190">
        <v>4.26</v>
      </c>
      <c r="AZ190">
        <v>9.1</v>
      </c>
      <c r="BA190">
        <v>7.48</v>
      </c>
      <c r="BB190">
        <v>38</v>
      </c>
      <c r="BC190">
        <v>1.87</v>
      </c>
      <c r="BD190">
        <v>1.76</v>
      </c>
      <c r="BE190">
        <v>2.1800000000000002</v>
      </c>
      <c r="BF190">
        <v>2.0299999999999998</v>
      </c>
      <c r="BG190">
        <v>18</v>
      </c>
      <c r="BH190">
        <v>-1.5</v>
      </c>
      <c r="BI190">
        <v>2.36</v>
      </c>
      <c r="BJ190">
        <v>2.27</v>
      </c>
      <c r="BK190">
        <v>1.72</v>
      </c>
      <c r="BL190">
        <v>1.66</v>
      </c>
      <c r="BM190">
        <v>1.43</v>
      </c>
      <c r="BN190">
        <v>4.5999999999999996</v>
      </c>
      <c r="BO190">
        <v>9.6999999999999993</v>
      </c>
    </row>
    <row r="191" spans="1:67">
      <c r="A191" t="s">
        <v>63</v>
      </c>
      <c r="B191" s="77">
        <v>41652</v>
      </c>
      <c r="C191" t="s">
        <v>64</v>
      </c>
      <c r="D191" t="s">
        <v>76</v>
      </c>
      <c r="E191">
        <v>3</v>
      </c>
      <c r="F191">
        <v>0</v>
      </c>
      <c r="G191" t="s">
        <v>70</v>
      </c>
      <c r="H191">
        <v>1</v>
      </c>
      <c r="I191">
        <v>0</v>
      </c>
      <c r="J191" t="s">
        <v>70</v>
      </c>
      <c r="K191">
        <v>20</v>
      </c>
      <c r="L191">
        <v>4</v>
      </c>
      <c r="M191">
        <v>6</v>
      </c>
      <c r="N191">
        <v>1</v>
      </c>
      <c r="O191">
        <v>22</v>
      </c>
      <c r="P191">
        <v>21</v>
      </c>
      <c r="Q191">
        <v>5</v>
      </c>
      <c r="R191">
        <v>6</v>
      </c>
      <c r="S191">
        <v>3</v>
      </c>
      <c r="T191">
        <v>3</v>
      </c>
      <c r="U191">
        <v>1</v>
      </c>
      <c r="V191">
        <v>2</v>
      </c>
      <c r="W191">
        <v>2.38</v>
      </c>
      <c r="X191">
        <v>3.2</v>
      </c>
      <c r="Y191">
        <v>3</v>
      </c>
      <c r="Z191">
        <v>2.5</v>
      </c>
      <c r="AA191">
        <v>3.1</v>
      </c>
      <c r="AB191">
        <v>2.95</v>
      </c>
      <c r="AC191">
        <v>2.2999999999999998</v>
      </c>
      <c r="AD191">
        <v>3.2</v>
      </c>
      <c r="AE191">
        <v>3</v>
      </c>
      <c r="AF191">
        <v>2.4</v>
      </c>
      <c r="AG191">
        <v>3.2</v>
      </c>
      <c r="AH191">
        <v>3</v>
      </c>
      <c r="AI191">
        <v>2.58</v>
      </c>
      <c r="AJ191">
        <v>3.13</v>
      </c>
      <c r="AK191">
        <v>3.2</v>
      </c>
      <c r="AL191">
        <v>2.5</v>
      </c>
      <c r="AM191">
        <v>3</v>
      </c>
      <c r="AN191">
        <v>3</v>
      </c>
      <c r="AO191">
        <v>2.4</v>
      </c>
      <c r="AP191">
        <v>3.13</v>
      </c>
      <c r="AQ191">
        <v>3</v>
      </c>
      <c r="AR191">
        <v>2.5499999999999998</v>
      </c>
      <c r="AS191">
        <v>3.2</v>
      </c>
      <c r="AT191">
        <v>3.1</v>
      </c>
      <c r="AU191">
        <v>40</v>
      </c>
      <c r="AV191">
        <v>2.56</v>
      </c>
      <c r="AW191">
        <v>2.4500000000000002</v>
      </c>
      <c r="AX191">
        <v>3.25</v>
      </c>
      <c r="AY191">
        <v>3.1</v>
      </c>
      <c r="AZ191">
        <v>3.3</v>
      </c>
      <c r="BA191">
        <v>3.02</v>
      </c>
      <c r="BB191">
        <v>38</v>
      </c>
      <c r="BC191">
        <v>2.4700000000000002</v>
      </c>
      <c r="BD191">
        <v>2.33</v>
      </c>
      <c r="BE191">
        <v>1.65</v>
      </c>
      <c r="BF191">
        <v>1.58</v>
      </c>
      <c r="BG191">
        <v>17</v>
      </c>
      <c r="BH191">
        <v>-0.25</v>
      </c>
      <c r="BI191">
        <v>2.15</v>
      </c>
      <c r="BJ191">
        <v>2.1</v>
      </c>
      <c r="BK191">
        <v>1.83</v>
      </c>
      <c r="BL191">
        <v>1.78</v>
      </c>
      <c r="BM191">
        <v>2.7</v>
      </c>
      <c r="BN191">
        <v>3.1</v>
      </c>
      <c r="BO191">
        <v>3.04</v>
      </c>
    </row>
    <row r="192" spans="1:67">
      <c r="A192" t="s">
        <v>63</v>
      </c>
      <c r="B192" s="77">
        <v>41657</v>
      </c>
      <c r="C192" t="s">
        <v>65</v>
      </c>
      <c r="D192" t="s">
        <v>64</v>
      </c>
      <c r="E192">
        <v>4</v>
      </c>
      <c r="F192">
        <v>2</v>
      </c>
      <c r="G192" t="s">
        <v>70</v>
      </c>
      <c r="H192">
        <v>3</v>
      </c>
      <c r="I192">
        <v>1</v>
      </c>
      <c r="J192" t="s">
        <v>70</v>
      </c>
      <c r="K192">
        <v>18</v>
      </c>
      <c r="L192">
        <v>17</v>
      </c>
      <c r="M192">
        <v>5</v>
      </c>
      <c r="N192">
        <v>5</v>
      </c>
      <c r="O192">
        <v>8</v>
      </c>
      <c r="P192">
        <v>12</v>
      </c>
      <c r="Q192">
        <v>3</v>
      </c>
      <c r="R192">
        <v>10</v>
      </c>
      <c r="S192">
        <v>1</v>
      </c>
      <c r="T192">
        <v>3</v>
      </c>
      <c r="U192">
        <v>0</v>
      </c>
      <c r="V192">
        <v>0</v>
      </c>
      <c r="W192">
        <v>1.17</v>
      </c>
      <c r="X192">
        <v>6.5</v>
      </c>
      <c r="Y192">
        <v>17</v>
      </c>
      <c r="Z192">
        <v>1.17</v>
      </c>
      <c r="AA192">
        <v>7</v>
      </c>
      <c r="AB192">
        <v>14</v>
      </c>
      <c r="AC192">
        <v>1.17</v>
      </c>
      <c r="AD192">
        <v>6.5</v>
      </c>
      <c r="AE192">
        <v>14</v>
      </c>
      <c r="AF192">
        <v>1.18</v>
      </c>
      <c r="AG192">
        <v>6.5</v>
      </c>
      <c r="AH192">
        <v>17</v>
      </c>
      <c r="AI192">
        <v>1.18</v>
      </c>
      <c r="AJ192">
        <v>7.7</v>
      </c>
      <c r="AK192">
        <v>22.5</v>
      </c>
      <c r="AL192">
        <v>1.18</v>
      </c>
      <c r="AM192">
        <v>6.5</v>
      </c>
      <c r="AN192">
        <v>17</v>
      </c>
      <c r="AO192">
        <v>1.17</v>
      </c>
      <c r="AP192">
        <v>6.5</v>
      </c>
      <c r="AQ192">
        <v>15</v>
      </c>
      <c r="AR192">
        <v>1.2</v>
      </c>
      <c r="AS192">
        <v>7</v>
      </c>
      <c r="AT192">
        <v>22</v>
      </c>
      <c r="AU192">
        <v>43</v>
      </c>
      <c r="AV192">
        <v>1.21</v>
      </c>
      <c r="AW192">
        <v>1.17</v>
      </c>
      <c r="AX192">
        <v>8</v>
      </c>
      <c r="AY192">
        <v>6.95</v>
      </c>
      <c r="AZ192">
        <v>23</v>
      </c>
      <c r="BA192">
        <v>16.29</v>
      </c>
      <c r="BB192">
        <v>33</v>
      </c>
      <c r="BC192">
        <v>1.62</v>
      </c>
      <c r="BD192">
        <v>1.56</v>
      </c>
      <c r="BE192">
        <v>2.54</v>
      </c>
      <c r="BF192">
        <v>2.35</v>
      </c>
      <c r="BG192">
        <v>24</v>
      </c>
      <c r="BH192">
        <v>-2</v>
      </c>
      <c r="BI192">
        <v>2.0099999999999998</v>
      </c>
      <c r="BJ192">
        <v>1.94</v>
      </c>
      <c r="BK192">
        <v>2.02</v>
      </c>
      <c r="BL192">
        <v>1.91</v>
      </c>
      <c r="BM192">
        <v>1.17</v>
      </c>
      <c r="BN192">
        <v>8.27</v>
      </c>
      <c r="BO192">
        <v>21.5</v>
      </c>
    </row>
    <row r="193" spans="1:67">
      <c r="A193" t="s">
        <v>63</v>
      </c>
      <c r="B193" s="77">
        <v>41657</v>
      </c>
      <c r="C193" t="s">
        <v>78</v>
      </c>
      <c r="D193" t="s">
        <v>77</v>
      </c>
      <c r="E193">
        <v>3</v>
      </c>
      <c r="F193">
        <v>0</v>
      </c>
      <c r="G193" t="s">
        <v>70</v>
      </c>
      <c r="H193">
        <v>2</v>
      </c>
      <c r="I193">
        <v>0</v>
      </c>
      <c r="J193" t="s">
        <v>70</v>
      </c>
      <c r="K193">
        <v>22</v>
      </c>
      <c r="L193">
        <v>4</v>
      </c>
      <c r="M193">
        <v>10</v>
      </c>
      <c r="N193">
        <v>0</v>
      </c>
      <c r="O193">
        <v>16</v>
      </c>
      <c r="P193">
        <v>11</v>
      </c>
      <c r="Q193">
        <v>8</v>
      </c>
      <c r="R193">
        <v>0</v>
      </c>
      <c r="S193">
        <v>1</v>
      </c>
      <c r="T193">
        <v>0</v>
      </c>
      <c r="U193">
        <v>0</v>
      </c>
      <c r="V193">
        <v>0</v>
      </c>
      <c r="W193">
        <v>1.18</v>
      </c>
      <c r="X193">
        <v>6.5</v>
      </c>
      <c r="Y193">
        <v>15</v>
      </c>
      <c r="Z193">
        <v>1.17</v>
      </c>
      <c r="AA193">
        <v>6.75</v>
      </c>
      <c r="AB193">
        <v>15.5</v>
      </c>
      <c r="AC193">
        <v>1.2</v>
      </c>
      <c r="AD193">
        <v>6</v>
      </c>
      <c r="AE193">
        <v>12</v>
      </c>
      <c r="AF193">
        <v>1.18</v>
      </c>
      <c r="AG193">
        <v>6.5</v>
      </c>
      <c r="AH193">
        <v>15</v>
      </c>
      <c r="AI193">
        <v>1.19</v>
      </c>
      <c r="AJ193">
        <v>7.48</v>
      </c>
      <c r="AK193">
        <v>20.5</v>
      </c>
      <c r="AL193">
        <v>1.2</v>
      </c>
      <c r="AM193">
        <v>6</v>
      </c>
      <c r="AN193">
        <v>15</v>
      </c>
      <c r="AO193">
        <v>1.17</v>
      </c>
      <c r="AP193">
        <v>6.25</v>
      </c>
      <c r="AQ193">
        <v>15</v>
      </c>
      <c r="AR193">
        <v>1.2</v>
      </c>
      <c r="AS193">
        <v>7</v>
      </c>
      <c r="AT193">
        <v>21</v>
      </c>
      <c r="AU193">
        <v>43</v>
      </c>
      <c r="AV193">
        <v>1.22</v>
      </c>
      <c r="AW193">
        <v>1.19</v>
      </c>
      <c r="AX193">
        <v>7.6</v>
      </c>
      <c r="AY193">
        <v>6.73</v>
      </c>
      <c r="AZ193">
        <v>21</v>
      </c>
      <c r="BA193">
        <v>15.48</v>
      </c>
      <c r="BB193">
        <v>32</v>
      </c>
      <c r="BC193">
        <v>1.65</v>
      </c>
      <c r="BD193">
        <v>1.57</v>
      </c>
      <c r="BE193">
        <v>2.48</v>
      </c>
      <c r="BF193">
        <v>2.3199999999999998</v>
      </c>
      <c r="BG193">
        <v>24</v>
      </c>
      <c r="BH193">
        <v>-2</v>
      </c>
      <c r="BI193">
        <v>2.0299999999999998</v>
      </c>
      <c r="BJ193">
        <v>1.97</v>
      </c>
      <c r="BK193">
        <v>2</v>
      </c>
      <c r="BL193">
        <v>1.89</v>
      </c>
      <c r="BM193">
        <v>1.18</v>
      </c>
      <c r="BN193">
        <v>7.76</v>
      </c>
      <c r="BO193">
        <v>23</v>
      </c>
    </row>
    <row r="194" spans="1:67">
      <c r="A194" t="s">
        <v>63</v>
      </c>
      <c r="B194" s="77">
        <v>41658</v>
      </c>
      <c r="C194" t="s">
        <v>72</v>
      </c>
      <c r="D194" t="s">
        <v>71</v>
      </c>
      <c r="E194">
        <v>1</v>
      </c>
      <c r="F194">
        <v>0</v>
      </c>
      <c r="G194" t="s">
        <v>70</v>
      </c>
      <c r="H194">
        <v>0</v>
      </c>
      <c r="I194">
        <v>0</v>
      </c>
      <c r="J194" t="s">
        <v>67</v>
      </c>
      <c r="K194">
        <v>12</v>
      </c>
      <c r="L194">
        <v>16</v>
      </c>
      <c r="M194">
        <v>5</v>
      </c>
      <c r="N194">
        <v>1</v>
      </c>
      <c r="O194">
        <v>9</v>
      </c>
      <c r="P194">
        <v>8</v>
      </c>
      <c r="Q194">
        <v>4</v>
      </c>
      <c r="R194">
        <v>5</v>
      </c>
      <c r="S194">
        <v>3</v>
      </c>
      <c r="T194">
        <v>0</v>
      </c>
      <c r="U194">
        <v>0</v>
      </c>
      <c r="V194">
        <v>1</v>
      </c>
      <c r="W194">
        <v>2.4500000000000002</v>
      </c>
      <c r="X194">
        <v>3.1</v>
      </c>
      <c r="Y194">
        <v>3</v>
      </c>
      <c r="Z194">
        <v>2.35</v>
      </c>
      <c r="AA194">
        <v>3.1</v>
      </c>
      <c r="AB194">
        <v>3.2</v>
      </c>
      <c r="AC194">
        <v>2.2000000000000002</v>
      </c>
      <c r="AD194">
        <v>3</v>
      </c>
      <c r="AE194">
        <v>3.4</v>
      </c>
      <c r="AF194">
        <v>2.37</v>
      </c>
      <c r="AG194">
        <v>3.1</v>
      </c>
      <c r="AH194">
        <v>3.2</v>
      </c>
      <c r="AI194">
        <v>2.5</v>
      </c>
      <c r="AJ194">
        <v>3.15</v>
      </c>
      <c r="AK194">
        <v>3.3</v>
      </c>
      <c r="AL194">
        <v>2.25</v>
      </c>
      <c r="AM194">
        <v>3.2</v>
      </c>
      <c r="AN194">
        <v>3.3</v>
      </c>
      <c r="AO194">
        <v>2.38</v>
      </c>
      <c r="AP194">
        <v>3.13</v>
      </c>
      <c r="AQ194">
        <v>3</v>
      </c>
      <c r="AR194">
        <v>2.5</v>
      </c>
      <c r="AS194">
        <v>3.2</v>
      </c>
      <c r="AT194">
        <v>3.2</v>
      </c>
      <c r="AU194">
        <v>43</v>
      </c>
      <c r="AV194">
        <v>2.5</v>
      </c>
      <c r="AW194">
        <v>2.39</v>
      </c>
      <c r="AX194">
        <v>3.25</v>
      </c>
      <c r="AY194">
        <v>3.11</v>
      </c>
      <c r="AZ194">
        <v>3.4</v>
      </c>
      <c r="BA194">
        <v>3.12</v>
      </c>
      <c r="BB194">
        <v>38</v>
      </c>
      <c r="BC194">
        <v>2.5</v>
      </c>
      <c r="BD194">
        <v>2.33</v>
      </c>
      <c r="BE194">
        <v>1.68</v>
      </c>
      <c r="BF194">
        <v>1.58</v>
      </c>
      <c r="BG194">
        <v>22</v>
      </c>
      <c r="BH194">
        <v>0</v>
      </c>
      <c r="BI194">
        <v>1.76</v>
      </c>
      <c r="BJ194">
        <v>1.69</v>
      </c>
      <c r="BK194">
        <v>2.2799999999999998</v>
      </c>
      <c r="BL194">
        <v>2.2000000000000002</v>
      </c>
      <c r="BM194">
        <v>2.4300000000000002</v>
      </c>
      <c r="BN194">
        <v>3.23</v>
      </c>
      <c r="BO194">
        <v>3.35</v>
      </c>
    </row>
    <row r="195" spans="1:67">
      <c r="A195" t="s">
        <v>63</v>
      </c>
      <c r="B195" s="77">
        <v>41658</v>
      </c>
      <c r="C195" t="s">
        <v>80</v>
      </c>
      <c r="D195" t="s">
        <v>79</v>
      </c>
      <c r="E195">
        <v>2</v>
      </c>
      <c r="F195">
        <v>2</v>
      </c>
      <c r="G195" t="s">
        <v>67</v>
      </c>
      <c r="H195">
        <v>1</v>
      </c>
      <c r="I195">
        <v>0</v>
      </c>
      <c r="J195" t="s">
        <v>70</v>
      </c>
      <c r="K195">
        <v>10</v>
      </c>
      <c r="L195">
        <v>11</v>
      </c>
      <c r="M195">
        <v>2</v>
      </c>
      <c r="N195">
        <v>4</v>
      </c>
      <c r="O195">
        <v>23</v>
      </c>
      <c r="P195">
        <v>14</v>
      </c>
      <c r="Q195">
        <v>5</v>
      </c>
      <c r="R195">
        <v>5</v>
      </c>
      <c r="S195">
        <v>4</v>
      </c>
      <c r="T195">
        <v>2</v>
      </c>
      <c r="U195">
        <v>1</v>
      </c>
      <c r="V195">
        <v>0</v>
      </c>
      <c r="W195">
        <v>5</v>
      </c>
      <c r="X195">
        <v>3.75</v>
      </c>
      <c r="Y195">
        <v>1.67</v>
      </c>
      <c r="Z195">
        <v>5</v>
      </c>
      <c r="AA195">
        <v>3.8</v>
      </c>
      <c r="AB195">
        <v>1.65</v>
      </c>
      <c r="AC195">
        <v>4.7</v>
      </c>
      <c r="AD195">
        <v>3.6</v>
      </c>
      <c r="AE195">
        <v>1.7</v>
      </c>
      <c r="AF195">
        <v>5</v>
      </c>
      <c r="AG195">
        <v>3.75</v>
      </c>
      <c r="AH195">
        <v>1.66</v>
      </c>
      <c r="AI195">
        <v>5.52</v>
      </c>
      <c r="AJ195">
        <v>3.97</v>
      </c>
      <c r="AK195">
        <v>1.7</v>
      </c>
      <c r="AL195">
        <v>5</v>
      </c>
      <c r="AM195">
        <v>3.8</v>
      </c>
      <c r="AN195">
        <v>1.67</v>
      </c>
      <c r="AO195">
        <v>4.8</v>
      </c>
      <c r="AP195">
        <v>3.75</v>
      </c>
      <c r="AQ195">
        <v>1.67</v>
      </c>
      <c r="AR195">
        <v>5.5</v>
      </c>
      <c r="AS195">
        <v>3.8</v>
      </c>
      <c r="AT195">
        <v>1.73</v>
      </c>
      <c r="AU195">
        <v>43</v>
      </c>
      <c r="AV195">
        <v>5.6</v>
      </c>
      <c r="AW195">
        <v>5.0199999999999996</v>
      </c>
      <c r="AX195">
        <v>4.1500000000000004</v>
      </c>
      <c r="AY195">
        <v>3.78</v>
      </c>
      <c r="AZ195">
        <v>1.73</v>
      </c>
      <c r="BA195">
        <v>1.68</v>
      </c>
      <c r="BB195">
        <v>42</v>
      </c>
      <c r="BC195">
        <v>1.91</v>
      </c>
      <c r="BD195">
        <v>1.81</v>
      </c>
      <c r="BE195">
        <v>2.08</v>
      </c>
      <c r="BF195">
        <v>1.97</v>
      </c>
      <c r="BG195">
        <v>23</v>
      </c>
      <c r="BH195">
        <v>1</v>
      </c>
      <c r="BI195">
        <v>1.78</v>
      </c>
      <c r="BJ195">
        <v>1.69</v>
      </c>
      <c r="BK195">
        <v>2.29</v>
      </c>
      <c r="BL195">
        <v>2.2200000000000002</v>
      </c>
      <c r="BM195">
        <v>5.49</v>
      </c>
      <c r="BN195">
        <v>4.03</v>
      </c>
      <c r="BO195">
        <v>1.7</v>
      </c>
    </row>
    <row r="196" spans="1:67">
      <c r="A196" t="s">
        <v>63</v>
      </c>
      <c r="B196" s="77">
        <v>41658</v>
      </c>
      <c r="C196" t="s">
        <v>86</v>
      </c>
      <c r="D196" t="s">
        <v>85</v>
      </c>
      <c r="E196">
        <v>0</v>
      </c>
      <c r="F196">
        <v>3</v>
      </c>
      <c r="G196" t="s">
        <v>66</v>
      </c>
      <c r="H196">
        <v>0</v>
      </c>
      <c r="I196">
        <v>3</v>
      </c>
      <c r="J196" t="s">
        <v>66</v>
      </c>
      <c r="K196">
        <v>9</v>
      </c>
      <c r="L196">
        <v>12</v>
      </c>
      <c r="M196">
        <v>3</v>
      </c>
      <c r="N196">
        <v>4</v>
      </c>
      <c r="O196">
        <v>16</v>
      </c>
      <c r="P196">
        <v>9</v>
      </c>
      <c r="Q196">
        <v>3</v>
      </c>
      <c r="R196">
        <v>3</v>
      </c>
      <c r="S196">
        <v>2</v>
      </c>
      <c r="T196">
        <v>1</v>
      </c>
      <c r="U196">
        <v>0</v>
      </c>
      <c r="V196">
        <v>0</v>
      </c>
      <c r="W196">
        <v>3.6</v>
      </c>
      <c r="X196">
        <v>3.4</v>
      </c>
      <c r="Y196">
        <v>2.0499999999999998</v>
      </c>
      <c r="Z196">
        <v>3.8</v>
      </c>
      <c r="AA196">
        <v>3.3</v>
      </c>
      <c r="AB196">
        <v>2</v>
      </c>
      <c r="AC196">
        <v>3.7</v>
      </c>
      <c r="AD196">
        <v>3.35</v>
      </c>
      <c r="AE196">
        <v>1.95</v>
      </c>
      <c r="AF196">
        <v>3.6</v>
      </c>
      <c r="AG196">
        <v>3.3</v>
      </c>
      <c r="AH196">
        <v>2.0499999999999998</v>
      </c>
      <c r="AI196">
        <v>4.1900000000000004</v>
      </c>
      <c r="AJ196">
        <v>3.44</v>
      </c>
      <c r="AK196">
        <v>2.04</v>
      </c>
      <c r="AL196">
        <v>3.6</v>
      </c>
      <c r="AM196">
        <v>3.4</v>
      </c>
      <c r="AN196">
        <v>2.0499999999999998</v>
      </c>
      <c r="AO196">
        <v>3.6</v>
      </c>
      <c r="AP196">
        <v>3.3</v>
      </c>
      <c r="AQ196">
        <v>2</v>
      </c>
      <c r="AR196">
        <v>4</v>
      </c>
      <c r="AS196">
        <v>3.4</v>
      </c>
      <c r="AT196">
        <v>2.1</v>
      </c>
      <c r="AU196">
        <v>43</v>
      </c>
      <c r="AV196">
        <v>4.3</v>
      </c>
      <c r="AW196">
        <v>3.71</v>
      </c>
      <c r="AX196">
        <v>3.55</v>
      </c>
      <c r="AY196">
        <v>3.38</v>
      </c>
      <c r="AZ196">
        <v>2.1</v>
      </c>
      <c r="BA196">
        <v>2.02</v>
      </c>
      <c r="BB196">
        <v>41</v>
      </c>
      <c r="BC196">
        <v>2.2000000000000002</v>
      </c>
      <c r="BD196">
        <v>2.09</v>
      </c>
      <c r="BE196">
        <v>1.82</v>
      </c>
      <c r="BF196">
        <v>1.72</v>
      </c>
      <c r="BG196">
        <v>22</v>
      </c>
      <c r="BH196">
        <v>0.5</v>
      </c>
      <c r="BI196">
        <v>1.88</v>
      </c>
      <c r="BJ196">
        <v>1.83</v>
      </c>
      <c r="BK196">
        <v>2.1</v>
      </c>
      <c r="BL196">
        <v>2.04</v>
      </c>
      <c r="BM196">
        <v>4.42</v>
      </c>
      <c r="BN196">
        <v>3.83</v>
      </c>
      <c r="BO196">
        <v>1.88</v>
      </c>
    </row>
    <row r="197" spans="1:67">
      <c r="A197" t="s">
        <v>63</v>
      </c>
      <c r="B197" s="77">
        <v>41658</v>
      </c>
      <c r="C197" t="s">
        <v>82</v>
      </c>
      <c r="D197" t="s">
        <v>81</v>
      </c>
      <c r="E197">
        <v>1</v>
      </c>
      <c r="F197">
        <v>2</v>
      </c>
      <c r="G197" t="s">
        <v>66</v>
      </c>
      <c r="H197">
        <v>1</v>
      </c>
      <c r="I197">
        <v>1</v>
      </c>
      <c r="J197" t="s">
        <v>67</v>
      </c>
      <c r="K197">
        <v>8</v>
      </c>
      <c r="L197">
        <v>10</v>
      </c>
      <c r="M197">
        <v>2</v>
      </c>
      <c r="N197">
        <v>4</v>
      </c>
      <c r="O197">
        <v>17</v>
      </c>
      <c r="P197">
        <v>16</v>
      </c>
      <c r="Q197">
        <v>3</v>
      </c>
      <c r="R197">
        <v>1</v>
      </c>
      <c r="S197">
        <v>2</v>
      </c>
      <c r="T197">
        <v>3</v>
      </c>
      <c r="U197">
        <v>0</v>
      </c>
      <c r="V197">
        <v>0</v>
      </c>
      <c r="W197">
        <v>2.8</v>
      </c>
      <c r="X197">
        <v>3.1</v>
      </c>
      <c r="Y197">
        <v>2.6</v>
      </c>
      <c r="Z197">
        <v>2.8</v>
      </c>
      <c r="AA197">
        <v>3</v>
      </c>
      <c r="AB197">
        <v>2.65</v>
      </c>
      <c r="AC197">
        <v>2.6</v>
      </c>
      <c r="AD197">
        <v>3.2</v>
      </c>
      <c r="AE197">
        <v>2.6</v>
      </c>
      <c r="AF197">
        <v>2.8</v>
      </c>
      <c r="AG197">
        <v>3.1</v>
      </c>
      <c r="AH197">
        <v>2.6</v>
      </c>
      <c r="AI197">
        <v>2.88</v>
      </c>
      <c r="AJ197">
        <v>3.14</v>
      </c>
      <c r="AK197">
        <v>2.82</v>
      </c>
      <c r="AL197">
        <v>2.9</v>
      </c>
      <c r="AM197">
        <v>3</v>
      </c>
      <c r="AN197">
        <v>2.6</v>
      </c>
      <c r="AO197">
        <v>2.75</v>
      </c>
      <c r="AP197">
        <v>3.13</v>
      </c>
      <c r="AQ197">
        <v>2.6</v>
      </c>
      <c r="AR197">
        <v>2.9</v>
      </c>
      <c r="AS197">
        <v>3.1</v>
      </c>
      <c r="AT197">
        <v>2.8</v>
      </c>
      <c r="AU197">
        <v>43</v>
      </c>
      <c r="AV197">
        <v>2.94</v>
      </c>
      <c r="AW197">
        <v>2.79</v>
      </c>
      <c r="AX197">
        <v>3.2</v>
      </c>
      <c r="AY197">
        <v>3.07</v>
      </c>
      <c r="AZ197">
        <v>2.84</v>
      </c>
      <c r="BA197">
        <v>2.66</v>
      </c>
      <c r="BB197">
        <v>38</v>
      </c>
      <c r="BC197">
        <v>2.5</v>
      </c>
      <c r="BD197">
        <v>2.3199999999999998</v>
      </c>
      <c r="BE197">
        <v>1.68</v>
      </c>
      <c r="BF197">
        <v>1.58</v>
      </c>
      <c r="BG197">
        <v>23</v>
      </c>
      <c r="BH197">
        <v>0</v>
      </c>
      <c r="BI197">
        <v>2</v>
      </c>
      <c r="BJ197">
        <v>1.96</v>
      </c>
      <c r="BK197">
        <v>1.95</v>
      </c>
      <c r="BL197">
        <v>1.89</v>
      </c>
      <c r="BM197">
        <v>3.21</v>
      </c>
      <c r="BN197">
        <v>3.07</v>
      </c>
      <c r="BO197">
        <v>2.62</v>
      </c>
    </row>
    <row r="198" spans="1:67">
      <c r="A198" t="s">
        <v>63</v>
      </c>
      <c r="B198" s="77">
        <v>41658</v>
      </c>
      <c r="C198" t="s">
        <v>74</v>
      </c>
      <c r="D198" t="s">
        <v>73</v>
      </c>
      <c r="E198">
        <v>1</v>
      </c>
      <c r="F198">
        <v>0</v>
      </c>
      <c r="G198" t="s">
        <v>70</v>
      </c>
      <c r="H198">
        <v>0</v>
      </c>
      <c r="I198">
        <v>0</v>
      </c>
      <c r="J198" t="s">
        <v>67</v>
      </c>
      <c r="K198">
        <v>14</v>
      </c>
      <c r="L198">
        <v>11</v>
      </c>
      <c r="M198">
        <v>6</v>
      </c>
      <c r="N198">
        <v>5</v>
      </c>
      <c r="O198">
        <v>14</v>
      </c>
      <c r="P198">
        <v>13</v>
      </c>
      <c r="Q198">
        <v>11</v>
      </c>
      <c r="R198">
        <v>5</v>
      </c>
      <c r="S198">
        <v>5</v>
      </c>
      <c r="T198">
        <v>1</v>
      </c>
      <c r="U198">
        <v>0</v>
      </c>
      <c r="V198">
        <v>0</v>
      </c>
      <c r="W198">
        <v>3.9</v>
      </c>
      <c r="X198">
        <v>3.4</v>
      </c>
      <c r="Y198">
        <v>1.95</v>
      </c>
      <c r="Z198">
        <v>4</v>
      </c>
      <c r="AA198">
        <v>3.3</v>
      </c>
      <c r="AB198">
        <v>1.95</v>
      </c>
      <c r="AC198">
        <v>3.6</v>
      </c>
      <c r="AD198">
        <v>3.3</v>
      </c>
      <c r="AE198">
        <v>2</v>
      </c>
      <c r="AF198">
        <v>3.6</v>
      </c>
      <c r="AG198">
        <v>3.5</v>
      </c>
      <c r="AH198">
        <v>2</v>
      </c>
      <c r="AI198">
        <v>4.34</v>
      </c>
      <c r="AJ198">
        <v>3.54</v>
      </c>
      <c r="AK198">
        <v>1.97</v>
      </c>
      <c r="AL198">
        <v>3.8</v>
      </c>
      <c r="AM198">
        <v>3.3</v>
      </c>
      <c r="AN198">
        <v>2</v>
      </c>
      <c r="AO198">
        <v>3.8</v>
      </c>
      <c r="AP198">
        <v>3.3</v>
      </c>
      <c r="AQ198">
        <v>1.95</v>
      </c>
      <c r="AR198">
        <v>4</v>
      </c>
      <c r="AS198">
        <v>3.4</v>
      </c>
      <c r="AT198">
        <v>2</v>
      </c>
      <c r="AU198">
        <v>43</v>
      </c>
      <c r="AV198">
        <v>4.34</v>
      </c>
      <c r="AW198">
        <v>3.88</v>
      </c>
      <c r="AX198">
        <v>3.6</v>
      </c>
      <c r="AY198">
        <v>3.39</v>
      </c>
      <c r="AZ198">
        <v>2.04</v>
      </c>
      <c r="BA198">
        <v>1.97</v>
      </c>
      <c r="BB198">
        <v>42</v>
      </c>
      <c r="BC198">
        <v>1.97</v>
      </c>
      <c r="BD198">
        <v>1.87</v>
      </c>
      <c r="BE198">
        <v>2</v>
      </c>
      <c r="BF198">
        <v>1.9</v>
      </c>
      <c r="BG198">
        <v>22</v>
      </c>
      <c r="BH198">
        <v>0.5</v>
      </c>
      <c r="BI198">
        <v>1.97</v>
      </c>
      <c r="BJ198">
        <v>1.9</v>
      </c>
      <c r="BK198">
        <v>2.0099999999999998</v>
      </c>
      <c r="BL198">
        <v>1.95</v>
      </c>
      <c r="BM198">
        <v>5.37</v>
      </c>
      <c r="BN198">
        <v>3.69</v>
      </c>
      <c r="BO198">
        <v>1.78</v>
      </c>
    </row>
    <row r="199" spans="1:67">
      <c r="A199" t="s">
        <v>63</v>
      </c>
      <c r="B199" s="77">
        <v>41658</v>
      </c>
      <c r="C199" t="s">
        <v>69</v>
      </c>
      <c r="D199" t="s">
        <v>68</v>
      </c>
      <c r="E199">
        <v>1</v>
      </c>
      <c r="F199">
        <v>0</v>
      </c>
      <c r="G199" t="s">
        <v>70</v>
      </c>
      <c r="H199">
        <v>0</v>
      </c>
      <c r="I199">
        <v>0</v>
      </c>
      <c r="J199" t="s">
        <v>67</v>
      </c>
      <c r="K199">
        <v>25</v>
      </c>
      <c r="L199">
        <v>13</v>
      </c>
      <c r="M199">
        <v>7</v>
      </c>
      <c r="N199">
        <v>3</v>
      </c>
      <c r="O199">
        <v>11</v>
      </c>
      <c r="P199">
        <v>12</v>
      </c>
      <c r="Q199">
        <v>5</v>
      </c>
      <c r="R199">
        <v>10</v>
      </c>
      <c r="S199">
        <v>2</v>
      </c>
      <c r="T199">
        <v>1</v>
      </c>
      <c r="U199">
        <v>0</v>
      </c>
      <c r="V199">
        <v>0</v>
      </c>
      <c r="W199">
        <v>1.44</v>
      </c>
      <c r="X199">
        <v>4.33</v>
      </c>
      <c r="Y199">
        <v>7</v>
      </c>
      <c r="Z199">
        <v>1.45</v>
      </c>
      <c r="AA199">
        <v>4.33</v>
      </c>
      <c r="AB199">
        <v>6.75</v>
      </c>
      <c r="AC199">
        <v>1.42</v>
      </c>
      <c r="AD199">
        <v>4.4000000000000004</v>
      </c>
      <c r="AE199">
        <v>7.2</v>
      </c>
      <c r="AF199">
        <v>1.44</v>
      </c>
      <c r="AG199">
        <v>4.33</v>
      </c>
      <c r="AH199">
        <v>7</v>
      </c>
      <c r="AI199">
        <v>1.47</v>
      </c>
      <c r="AJ199">
        <v>4.74</v>
      </c>
      <c r="AK199">
        <v>7.78</v>
      </c>
      <c r="AL199">
        <v>1.5</v>
      </c>
      <c r="AM199">
        <v>4</v>
      </c>
      <c r="AN199">
        <v>7</v>
      </c>
      <c r="AO199">
        <v>1.4</v>
      </c>
      <c r="AP199">
        <v>4.33</v>
      </c>
      <c r="AQ199">
        <v>7</v>
      </c>
      <c r="AR199">
        <v>1.45</v>
      </c>
      <c r="AS199">
        <v>4.5</v>
      </c>
      <c r="AT199">
        <v>7.5</v>
      </c>
      <c r="AU199">
        <v>43</v>
      </c>
      <c r="AV199">
        <v>1.5</v>
      </c>
      <c r="AW199">
        <v>1.44</v>
      </c>
      <c r="AX199">
        <v>4.8</v>
      </c>
      <c r="AY199">
        <v>4.43</v>
      </c>
      <c r="AZ199">
        <v>7.92</v>
      </c>
      <c r="BA199">
        <v>7.05</v>
      </c>
      <c r="BB199">
        <v>40</v>
      </c>
      <c r="BC199">
        <v>1.7</v>
      </c>
      <c r="BD199">
        <v>1.62</v>
      </c>
      <c r="BE199">
        <v>2.44</v>
      </c>
      <c r="BF199">
        <v>2.2599999999999998</v>
      </c>
      <c r="BG199">
        <v>24</v>
      </c>
      <c r="BH199">
        <v>-1</v>
      </c>
      <c r="BI199">
        <v>1.75</v>
      </c>
      <c r="BJ199">
        <v>1.71</v>
      </c>
      <c r="BK199">
        <v>2.2799999999999998</v>
      </c>
      <c r="BL199">
        <v>2.19</v>
      </c>
      <c r="BM199">
        <v>1.36</v>
      </c>
      <c r="BN199">
        <v>5.0999999999999996</v>
      </c>
      <c r="BO199">
        <v>11.35</v>
      </c>
    </row>
    <row r="200" spans="1:67">
      <c r="A200" t="s">
        <v>63</v>
      </c>
      <c r="B200" s="77">
        <v>41658</v>
      </c>
      <c r="C200" t="s">
        <v>84</v>
      </c>
      <c r="D200" t="s">
        <v>83</v>
      </c>
      <c r="E200">
        <v>0</v>
      </c>
      <c r="F200">
        <v>2</v>
      </c>
      <c r="G200" t="s">
        <v>66</v>
      </c>
      <c r="H200">
        <v>0</v>
      </c>
      <c r="I200">
        <v>1</v>
      </c>
      <c r="J200" t="s">
        <v>66</v>
      </c>
      <c r="K200">
        <v>15</v>
      </c>
      <c r="L200">
        <v>6</v>
      </c>
      <c r="M200">
        <v>2</v>
      </c>
      <c r="N200">
        <v>5</v>
      </c>
      <c r="O200">
        <v>18</v>
      </c>
      <c r="P200">
        <v>17</v>
      </c>
      <c r="Q200">
        <v>10</v>
      </c>
      <c r="R200">
        <v>4</v>
      </c>
      <c r="S200">
        <v>3</v>
      </c>
      <c r="T200">
        <v>2</v>
      </c>
      <c r="U200">
        <v>0</v>
      </c>
      <c r="V200">
        <v>0</v>
      </c>
      <c r="W200">
        <v>2.7</v>
      </c>
      <c r="X200">
        <v>3.2</v>
      </c>
      <c r="Y200">
        <v>2.6</v>
      </c>
      <c r="Z200">
        <v>2.7</v>
      </c>
      <c r="AA200">
        <v>3.2</v>
      </c>
      <c r="AB200">
        <v>2.6</v>
      </c>
      <c r="AC200">
        <v>2.75</v>
      </c>
      <c r="AD200">
        <v>3.2</v>
      </c>
      <c r="AE200">
        <v>2.5</v>
      </c>
      <c r="AF200">
        <v>2.75</v>
      </c>
      <c r="AG200">
        <v>3.3</v>
      </c>
      <c r="AH200">
        <v>2.5</v>
      </c>
      <c r="AI200">
        <v>2.94</v>
      </c>
      <c r="AJ200">
        <v>3.34</v>
      </c>
      <c r="AK200">
        <v>2.63</v>
      </c>
      <c r="AL200">
        <v>2.8</v>
      </c>
      <c r="AM200">
        <v>3.3</v>
      </c>
      <c r="AN200">
        <v>2.5</v>
      </c>
      <c r="AO200">
        <v>2.75</v>
      </c>
      <c r="AP200">
        <v>3.25</v>
      </c>
      <c r="AQ200">
        <v>2.5</v>
      </c>
      <c r="AR200">
        <v>2.9</v>
      </c>
      <c r="AS200">
        <v>3.3</v>
      </c>
      <c r="AT200">
        <v>2.62</v>
      </c>
      <c r="AU200">
        <v>43</v>
      </c>
      <c r="AV200">
        <v>2.95</v>
      </c>
      <c r="AW200">
        <v>2.8</v>
      </c>
      <c r="AX200">
        <v>3.45</v>
      </c>
      <c r="AY200">
        <v>3.25</v>
      </c>
      <c r="AZ200">
        <v>2.68</v>
      </c>
      <c r="BA200">
        <v>2.54</v>
      </c>
      <c r="BB200">
        <v>42</v>
      </c>
      <c r="BC200">
        <v>2.08</v>
      </c>
      <c r="BD200">
        <v>2</v>
      </c>
      <c r="BE200">
        <v>1.9</v>
      </c>
      <c r="BF200">
        <v>1.78</v>
      </c>
      <c r="BG200">
        <v>23</v>
      </c>
      <c r="BH200">
        <v>0</v>
      </c>
      <c r="BI200">
        <v>2.08</v>
      </c>
      <c r="BJ200">
        <v>2.02</v>
      </c>
      <c r="BK200">
        <v>1.9</v>
      </c>
      <c r="BL200">
        <v>1.83</v>
      </c>
      <c r="BM200">
        <v>2.88</v>
      </c>
      <c r="BN200">
        <v>3.37</v>
      </c>
      <c r="BO200">
        <v>2.66</v>
      </c>
    </row>
    <row r="201" spans="1:67">
      <c r="A201" t="s">
        <v>63</v>
      </c>
      <c r="B201" s="77">
        <v>41658</v>
      </c>
      <c r="C201" t="s">
        <v>76</v>
      </c>
      <c r="D201" t="s">
        <v>75</v>
      </c>
      <c r="E201">
        <v>2</v>
      </c>
      <c r="F201">
        <v>3</v>
      </c>
      <c r="G201" t="s">
        <v>66</v>
      </c>
      <c r="H201">
        <v>1</v>
      </c>
      <c r="I201">
        <v>0</v>
      </c>
      <c r="J201" t="s">
        <v>70</v>
      </c>
      <c r="K201">
        <v>10</v>
      </c>
      <c r="L201">
        <v>20</v>
      </c>
      <c r="M201">
        <v>3</v>
      </c>
      <c r="N201">
        <v>5</v>
      </c>
      <c r="O201">
        <v>10</v>
      </c>
      <c r="P201">
        <v>15</v>
      </c>
      <c r="Q201">
        <v>3</v>
      </c>
      <c r="R201">
        <v>2</v>
      </c>
      <c r="S201">
        <v>2</v>
      </c>
      <c r="T201">
        <v>3</v>
      </c>
      <c r="U201">
        <v>0</v>
      </c>
      <c r="V201">
        <v>1</v>
      </c>
      <c r="W201">
        <v>2.5</v>
      </c>
      <c r="X201">
        <v>3.1</v>
      </c>
      <c r="Y201">
        <v>2.9</v>
      </c>
      <c r="Z201">
        <v>2.5</v>
      </c>
      <c r="AA201">
        <v>3.1</v>
      </c>
      <c r="AB201">
        <v>2.9</v>
      </c>
      <c r="AC201">
        <v>2.2999999999999998</v>
      </c>
      <c r="AD201">
        <v>3.2</v>
      </c>
      <c r="AE201">
        <v>3</v>
      </c>
      <c r="AF201">
        <v>2.4</v>
      </c>
      <c r="AG201">
        <v>3.2</v>
      </c>
      <c r="AH201">
        <v>3</v>
      </c>
      <c r="AI201">
        <v>2.54</v>
      </c>
      <c r="AJ201">
        <v>3.17</v>
      </c>
      <c r="AK201">
        <v>3.21</v>
      </c>
      <c r="AL201">
        <v>2.4</v>
      </c>
      <c r="AM201">
        <v>3.1</v>
      </c>
      <c r="AN201">
        <v>3.1</v>
      </c>
      <c r="AO201">
        <v>2.38</v>
      </c>
      <c r="AP201">
        <v>3.13</v>
      </c>
      <c r="AQ201">
        <v>3</v>
      </c>
      <c r="AR201">
        <v>2.5499999999999998</v>
      </c>
      <c r="AS201">
        <v>3.2</v>
      </c>
      <c r="AT201">
        <v>3.12</v>
      </c>
      <c r="AU201">
        <v>43</v>
      </c>
      <c r="AV201">
        <v>2.6</v>
      </c>
      <c r="AW201">
        <v>2.4500000000000002</v>
      </c>
      <c r="AX201">
        <v>3.25</v>
      </c>
      <c r="AY201">
        <v>3.14</v>
      </c>
      <c r="AZ201">
        <v>3.21</v>
      </c>
      <c r="BA201">
        <v>3.01</v>
      </c>
      <c r="BB201">
        <v>39</v>
      </c>
      <c r="BC201">
        <v>2.33</v>
      </c>
      <c r="BD201">
        <v>2.21</v>
      </c>
      <c r="BE201">
        <v>1.72</v>
      </c>
      <c r="BF201">
        <v>1.64</v>
      </c>
      <c r="BG201">
        <v>23</v>
      </c>
      <c r="BH201">
        <v>0</v>
      </c>
      <c r="BI201">
        <v>1.77</v>
      </c>
      <c r="BJ201">
        <v>1.73</v>
      </c>
      <c r="BK201">
        <v>2.2200000000000002</v>
      </c>
      <c r="BL201">
        <v>2.14</v>
      </c>
      <c r="BM201">
        <v>2.46</v>
      </c>
      <c r="BN201">
        <v>3.23</v>
      </c>
      <c r="BO201">
        <v>3.33</v>
      </c>
    </row>
    <row r="202" spans="1:67">
      <c r="A202" t="s">
        <v>63</v>
      </c>
      <c r="B202" s="77">
        <v>41664</v>
      </c>
      <c r="C202" t="s">
        <v>75</v>
      </c>
      <c r="D202" t="s">
        <v>65</v>
      </c>
      <c r="E202">
        <v>1</v>
      </c>
      <c r="F202">
        <v>1</v>
      </c>
      <c r="G202" t="s">
        <v>67</v>
      </c>
      <c r="H202">
        <v>1</v>
      </c>
      <c r="I202">
        <v>0</v>
      </c>
      <c r="J202" t="s">
        <v>70</v>
      </c>
      <c r="K202">
        <v>11</v>
      </c>
      <c r="L202">
        <v>11</v>
      </c>
      <c r="M202">
        <v>3</v>
      </c>
      <c r="N202">
        <v>3</v>
      </c>
      <c r="O202">
        <v>13</v>
      </c>
      <c r="P202">
        <v>15</v>
      </c>
      <c r="Q202">
        <v>0</v>
      </c>
      <c r="R202">
        <v>7</v>
      </c>
      <c r="S202">
        <v>1</v>
      </c>
      <c r="T202">
        <v>1</v>
      </c>
      <c r="U202">
        <v>0</v>
      </c>
      <c r="V202">
        <v>1</v>
      </c>
      <c r="W202">
        <v>4.75</v>
      </c>
      <c r="X202">
        <v>3.6</v>
      </c>
      <c r="Y202">
        <v>1.73</v>
      </c>
      <c r="Z202">
        <v>5</v>
      </c>
      <c r="AA202">
        <v>3.7</v>
      </c>
      <c r="AB202">
        <v>1.7</v>
      </c>
      <c r="AC202">
        <v>4.5999999999999996</v>
      </c>
      <c r="AD202">
        <v>3.6</v>
      </c>
      <c r="AE202">
        <v>1.72</v>
      </c>
      <c r="AF202">
        <v>4.8</v>
      </c>
      <c r="AG202">
        <v>3.6</v>
      </c>
      <c r="AH202">
        <v>1.72</v>
      </c>
      <c r="AI202">
        <v>5.66</v>
      </c>
      <c r="AJ202">
        <v>3.75</v>
      </c>
      <c r="AK202">
        <v>1.74</v>
      </c>
      <c r="AL202">
        <v>5.5</v>
      </c>
      <c r="AM202">
        <v>3.3</v>
      </c>
      <c r="AN202">
        <v>1.73</v>
      </c>
      <c r="AO202">
        <v>4.8</v>
      </c>
      <c r="AP202">
        <v>3.4</v>
      </c>
      <c r="AQ202">
        <v>1.73</v>
      </c>
      <c r="AR202">
        <v>5.4</v>
      </c>
      <c r="AS202">
        <v>3.6</v>
      </c>
      <c r="AT202">
        <v>1.75</v>
      </c>
      <c r="AU202">
        <v>41</v>
      </c>
      <c r="AV202">
        <v>5.97</v>
      </c>
      <c r="AW202">
        <v>5.2</v>
      </c>
      <c r="AX202">
        <v>3.8</v>
      </c>
      <c r="AY202">
        <v>3.54</v>
      </c>
      <c r="AZ202">
        <v>1.76</v>
      </c>
      <c r="BA202">
        <v>1.71</v>
      </c>
      <c r="BB202">
        <v>40</v>
      </c>
      <c r="BC202">
        <v>2.02</v>
      </c>
      <c r="BD202">
        <v>1.92</v>
      </c>
      <c r="BE202">
        <v>1.98</v>
      </c>
      <c r="BF202">
        <v>1.86</v>
      </c>
      <c r="BG202">
        <v>19</v>
      </c>
      <c r="BH202">
        <v>0.75</v>
      </c>
      <c r="BI202">
        <v>2.0099999999999998</v>
      </c>
      <c r="BJ202">
        <v>1.94</v>
      </c>
      <c r="BK202">
        <v>1.95</v>
      </c>
      <c r="BL202">
        <v>1.92</v>
      </c>
      <c r="BM202">
        <v>5.22</v>
      </c>
      <c r="BN202">
        <v>3.66</v>
      </c>
      <c r="BO202">
        <v>1.8</v>
      </c>
    </row>
    <row r="203" spans="1:67">
      <c r="A203" t="s">
        <v>63</v>
      </c>
      <c r="B203" s="77">
        <v>41664</v>
      </c>
      <c r="C203" t="s">
        <v>79</v>
      </c>
      <c r="D203" t="s">
        <v>82</v>
      </c>
      <c r="E203">
        <v>1</v>
      </c>
      <c r="F203">
        <v>1</v>
      </c>
      <c r="G203" t="s">
        <v>67</v>
      </c>
      <c r="H203">
        <v>0</v>
      </c>
      <c r="I203">
        <v>1</v>
      </c>
      <c r="J203" t="s">
        <v>66</v>
      </c>
      <c r="K203">
        <v>23</v>
      </c>
      <c r="L203">
        <v>3</v>
      </c>
      <c r="M203">
        <v>4</v>
      </c>
      <c r="N203">
        <v>1</v>
      </c>
      <c r="O203">
        <v>12</v>
      </c>
      <c r="P203">
        <v>15</v>
      </c>
      <c r="Q203">
        <v>11</v>
      </c>
      <c r="R203">
        <v>2</v>
      </c>
      <c r="S203">
        <v>1</v>
      </c>
      <c r="T203">
        <v>2</v>
      </c>
      <c r="U203">
        <v>0</v>
      </c>
      <c r="V203">
        <v>0</v>
      </c>
      <c r="W203">
        <v>1.29</v>
      </c>
      <c r="X203">
        <v>5.25</v>
      </c>
      <c r="Y203">
        <v>10</v>
      </c>
      <c r="Z203">
        <v>1.26</v>
      </c>
      <c r="AA203">
        <v>5.5</v>
      </c>
      <c r="AB203">
        <v>11</v>
      </c>
      <c r="AC203">
        <v>1.27</v>
      </c>
      <c r="AD203">
        <v>5.2</v>
      </c>
      <c r="AE203">
        <v>10</v>
      </c>
      <c r="AF203">
        <v>1.28</v>
      </c>
      <c r="AG203">
        <v>5</v>
      </c>
      <c r="AH203">
        <v>11</v>
      </c>
      <c r="AI203">
        <v>1.32</v>
      </c>
      <c r="AJ203">
        <v>5.4</v>
      </c>
      <c r="AK203">
        <v>13.3</v>
      </c>
      <c r="AL203">
        <v>1.3</v>
      </c>
      <c r="AM203">
        <v>5</v>
      </c>
      <c r="AN203">
        <v>11</v>
      </c>
      <c r="AO203">
        <v>1.29</v>
      </c>
      <c r="AP203">
        <v>5</v>
      </c>
      <c r="AQ203">
        <v>9.5</v>
      </c>
      <c r="AR203">
        <v>1.3</v>
      </c>
      <c r="AS203">
        <v>5.25</v>
      </c>
      <c r="AT203">
        <v>12</v>
      </c>
      <c r="AU203">
        <v>41</v>
      </c>
      <c r="AV203">
        <v>1.35</v>
      </c>
      <c r="AW203">
        <v>1.29</v>
      </c>
      <c r="AX203">
        <v>5.9</v>
      </c>
      <c r="AY203">
        <v>5.22</v>
      </c>
      <c r="AZ203">
        <v>13.38</v>
      </c>
      <c r="BA203">
        <v>10.68</v>
      </c>
      <c r="BB203">
        <v>39</v>
      </c>
      <c r="BC203">
        <v>1.83</v>
      </c>
      <c r="BD203">
        <v>1.74</v>
      </c>
      <c r="BE203">
        <v>2.2400000000000002</v>
      </c>
      <c r="BF203">
        <v>2.06</v>
      </c>
      <c r="BG203">
        <v>23</v>
      </c>
      <c r="BH203">
        <v>-1.5</v>
      </c>
      <c r="BI203">
        <v>2</v>
      </c>
      <c r="BJ203">
        <v>1.92</v>
      </c>
      <c r="BK203">
        <v>2</v>
      </c>
      <c r="BL203">
        <v>1.92</v>
      </c>
      <c r="BM203">
        <v>1.33</v>
      </c>
      <c r="BN203">
        <v>5.45</v>
      </c>
      <c r="BO203">
        <v>11.61</v>
      </c>
    </row>
    <row r="204" spans="1:67">
      <c r="A204" t="s">
        <v>63</v>
      </c>
      <c r="B204" s="77">
        <v>41665</v>
      </c>
      <c r="C204" t="s">
        <v>71</v>
      </c>
      <c r="D204" t="s">
        <v>69</v>
      </c>
      <c r="E204">
        <v>1</v>
      </c>
      <c r="F204">
        <v>2</v>
      </c>
      <c r="G204" t="s">
        <v>66</v>
      </c>
      <c r="H204">
        <v>1</v>
      </c>
      <c r="I204">
        <v>0</v>
      </c>
      <c r="J204" t="s">
        <v>70</v>
      </c>
      <c r="K204">
        <v>7</v>
      </c>
      <c r="L204">
        <v>21</v>
      </c>
      <c r="M204">
        <v>1</v>
      </c>
      <c r="N204">
        <v>8</v>
      </c>
      <c r="O204">
        <v>21</v>
      </c>
      <c r="P204">
        <v>19</v>
      </c>
      <c r="Q204">
        <v>4</v>
      </c>
      <c r="R204">
        <v>9</v>
      </c>
      <c r="S204">
        <v>3</v>
      </c>
      <c r="T204">
        <v>1</v>
      </c>
      <c r="U204">
        <v>0</v>
      </c>
      <c r="V204">
        <v>0</v>
      </c>
      <c r="W204">
        <v>3.8</v>
      </c>
      <c r="X204">
        <v>3.3</v>
      </c>
      <c r="Y204">
        <v>2</v>
      </c>
      <c r="Z204">
        <v>4.0999999999999996</v>
      </c>
      <c r="AA204">
        <v>3.4</v>
      </c>
      <c r="AB204">
        <v>1.91</v>
      </c>
      <c r="AC204">
        <v>3.8</v>
      </c>
      <c r="AD204">
        <v>3.45</v>
      </c>
      <c r="AE204">
        <v>1.9</v>
      </c>
      <c r="AF204">
        <v>4.2</v>
      </c>
      <c r="AG204">
        <v>3.5</v>
      </c>
      <c r="AH204">
        <v>1.85</v>
      </c>
      <c r="AI204">
        <v>4.3499999999999996</v>
      </c>
      <c r="AJ204">
        <v>3.42</v>
      </c>
      <c r="AK204">
        <v>2.0099999999999998</v>
      </c>
      <c r="AL204">
        <v>4</v>
      </c>
      <c r="AM204">
        <v>3.3</v>
      </c>
      <c r="AN204">
        <v>1.95</v>
      </c>
      <c r="AO204">
        <v>3.8</v>
      </c>
      <c r="AP204">
        <v>3.25</v>
      </c>
      <c r="AQ204">
        <v>1.95</v>
      </c>
      <c r="AR204">
        <v>4.0999999999999996</v>
      </c>
      <c r="AS204">
        <v>3.4</v>
      </c>
      <c r="AT204">
        <v>2</v>
      </c>
      <c r="AU204">
        <v>41</v>
      </c>
      <c r="AV204">
        <v>4.5</v>
      </c>
      <c r="AW204">
        <v>4.01</v>
      </c>
      <c r="AX204">
        <v>3.7</v>
      </c>
      <c r="AY204">
        <v>3.37</v>
      </c>
      <c r="AZ204">
        <v>2.0099999999999998</v>
      </c>
      <c r="BA204">
        <v>1.94</v>
      </c>
      <c r="BB204">
        <v>40</v>
      </c>
      <c r="BC204">
        <v>2.06</v>
      </c>
      <c r="BD204">
        <v>1.96</v>
      </c>
      <c r="BE204">
        <v>1.95</v>
      </c>
      <c r="BF204">
        <v>1.82</v>
      </c>
      <c r="BG204">
        <v>20</v>
      </c>
      <c r="BH204">
        <v>0.5</v>
      </c>
      <c r="BI204">
        <v>1.94</v>
      </c>
      <c r="BJ204">
        <v>1.9</v>
      </c>
      <c r="BK204">
        <v>2.0099999999999998</v>
      </c>
      <c r="BL204">
        <v>1.95</v>
      </c>
      <c r="BM204">
        <v>3.87</v>
      </c>
      <c r="BN204">
        <v>3.3</v>
      </c>
      <c r="BO204">
        <v>2.1800000000000002</v>
      </c>
    </row>
    <row r="205" spans="1:67">
      <c r="A205" t="s">
        <v>63</v>
      </c>
      <c r="B205" s="77">
        <v>41665</v>
      </c>
      <c r="C205" t="s">
        <v>85</v>
      </c>
      <c r="D205" t="s">
        <v>74</v>
      </c>
      <c r="E205">
        <v>3</v>
      </c>
      <c r="F205">
        <v>3</v>
      </c>
      <c r="G205" t="s">
        <v>67</v>
      </c>
      <c r="H205">
        <v>2</v>
      </c>
      <c r="I205">
        <v>2</v>
      </c>
      <c r="J205" t="s">
        <v>67</v>
      </c>
      <c r="K205">
        <v>18</v>
      </c>
      <c r="L205">
        <v>10</v>
      </c>
      <c r="M205">
        <v>4</v>
      </c>
      <c r="N205">
        <v>3</v>
      </c>
      <c r="O205">
        <v>11</v>
      </c>
      <c r="P205">
        <v>18</v>
      </c>
      <c r="Q205">
        <v>8</v>
      </c>
      <c r="R205">
        <v>2</v>
      </c>
      <c r="S205">
        <v>1</v>
      </c>
      <c r="T205">
        <v>2</v>
      </c>
      <c r="U205">
        <v>0</v>
      </c>
      <c r="V205">
        <v>0</v>
      </c>
      <c r="W205">
        <v>1.33</v>
      </c>
      <c r="X205">
        <v>4.75</v>
      </c>
      <c r="Y205">
        <v>10</v>
      </c>
      <c r="Z205">
        <v>1.33</v>
      </c>
      <c r="AA205">
        <v>5</v>
      </c>
      <c r="AB205">
        <v>9</v>
      </c>
      <c r="AC205">
        <v>1.35</v>
      </c>
      <c r="AD205">
        <v>4.8</v>
      </c>
      <c r="AE205">
        <v>7.6</v>
      </c>
      <c r="AF205">
        <v>1.36</v>
      </c>
      <c r="AG205">
        <v>4.8</v>
      </c>
      <c r="AH205">
        <v>8.5</v>
      </c>
      <c r="AI205">
        <v>1.35</v>
      </c>
      <c r="AJ205">
        <v>5.16</v>
      </c>
      <c r="AK205">
        <v>11.34</v>
      </c>
      <c r="AL205">
        <v>1.36</v>
      </c>
      <c r="AM205">
        <v>4.5</v>
      </c>
      <c r="AN205">
        <v>9</v>
      </c>
      <c r="AO205">
        <v>1.33</v>
      </c>
      <c r="AP205">
        <v>4.8</v>
      </c>
      <c r="AQ205">
        <v>8.5</v>
      </c>
      <c r="AR205">
        <v>1.3640000000000001</v>
      </c>
      <c r="AS205">
        <v>5</v>
      </c>
      <c r="AT205">
        <v>10.5</v>
      </c>
      <c r="AU205">
        <v>39</v>
      </c>
      <c r="AV205">
        <v>1.4</v>
      </c>
      <c r="AW205">
        <v>1.35</v>
      </c>
      <c r="AX205">
        <v>5.2</v>
      </c>
      <c r="AY205">
        <v>4.74</v>
      </c>
      <c r="AZ205">
        <v>11.31</v>
      </c>
      <c r="BA205">
        <v>9.11</v>
      </c>
      <c r="BB205">
        <v>37</v>
      </c>
      <c r="BC205">
        <v>1.85</v>
      </c>
      <c r="BD205">
        <v>1.76</v>
      </c>
      <c r="BE205">
        <v>2.1800000000000002</v>
      </c>
      <c r="BF205">
        <v>2.02</v>
      </c>
      <c r="BG205">
        <v>21</v>
      </c>
      <c r="BH205">
        <v>-1.5</v>
      </c>
      <c r="BI205">
        <v>2.14</v>
      </c>
      <c r="BJ205">
        <v>2.06</v>
      </c>
      <c r="BK205">
        <v>1.9</v>
      </c>
      <c r="BL205">
        <v>1.8</v>
      </c>
      <c r="BM205">
        <v>1.38</v>
      </c>
      <c r="BN205">
        <v>5.0199999999999996</v>
      </c>
      <c r="BO205">
        <v>10.48</v>
      </c>
    </row>
    <row r="206" spans="1:67">
      <c r="A206" t="s">
        <v>63</v>
      </c>
      <c r="B206" s="77">
        <v>41665</v>
      </c>
      <c r="C206" t="s">
        <v>73</v>
      </c>
      <c r="D206" t="s">
        <v>86</v>
      </c>
      <c r="E206">
        <v>0</v>
      </c>
      <c r="F206">
        <v>0</v>
      </c>
      <c r="G206" t="s">
        <v>67</v>
      </c>
      <c r="H206">
        <v>0</v>
      </c>
      <c r="I206">
        <v>0</v>
      </c>
      <c r="J206" t="s">
        <v>67</v>
      </c>
      <c r="K206">
        <v>13</v>
      </c>
      <c r="L206">
        <v>5</v>
      </c>
      <c r="M206">
        <v>3</v>
      </c>
      <c r="N206">
        <v>0</v>
      </c>
      <c r="O206">
        <v>13</v>
      </c>
      <c r="P206">
        <v>15</v>
      </c>
      <c r="Q206">
        <v>14</v>
      </c>
      <c r="R206">
        <v>4</v>
      </c>
      <c r="S206">
        <v>1</v>
      </c>
      <c r="T206">
        <v>2</v>
      </c>
      <c r="U206">
        <v>0</v>
      </c>
      <c r="V206">
        <v>0</v>
      </c>
      <c r="W206">
        <v>1.33</v>
      </c>
      <c r="X206">
        <v>4.75</v>
      </c>
      <c r="Y206">
        <v>9.5</v>
      </c>
      <c r="Z206">
        <v>1.35</v>
      </c>
      <c r="AA206">
        <v>4.75</v>
      </c>
      <c r="AB206">
        <v>8.5</v>
      </c>
      <c r="AC206">
        <v>1.33</v>
      </c>
      <c r="AD206">
        <v>4.8</v>
      </c>
      <c r="AE206">
        <v>8.3000000000000007</v>
      </c>
      <c r="AF206">
        <v>1.36</v>
      </c>
      <c r="AG206">
        <v>4.8</v>
      </c>
      <c r="AH206">
        <v>8</v>
      </c>
      <c r="AI206">
        <v>1.34</v>
      </c>
      <c r="AJ206">
        <v>5.3</v>
      </c>
      <c r="AK206">
        <v>11.3</v>
      </c>
      <c r="AL206">
        <v>1.36</v>
      </c>
      <c r="AM206">
        <v>4.5</v>
      </c>
      <c r="AN206">
        <v>9</v>
      </c>
      <c r="AO206">
        <v>1.33</v>
      </c>
      <c r="AP206">
        <v>4.8</v>
      </c>
      <c r="AQ206">
        <v>8.5</v>
      </c>
      <c r="AR206">
        <v>1.3640000000000001</v>
      </c>
      <c r="AS206">
        <v>5</v>
      </c>
      <c r="AT206">
        <v>10.5</v>
      </c>
      <c r="AU206">
        <v>41</v>
      </c>
      <c r="AV206">
        <v>1.38</v>
      </c>
      <c r="AW206">
        <v>1.34</v>
      </c>
      <c r="AX206">
        <v>5.5</v>
      </c>
      <c r="AY206">
        <v>4.88</v>
      </c>
      <c r="AZ206">
        <v>12</v>
      </c>
      <c r="BA206">
        <v>9.33</v>
      </c>
      <c r="BB206">
        <v>36</v>
      </c>
      <c r="BC206">
        <v>1.7</v>
      </c>
      <c r="BD206">
        <v>1.64</v>
      </c>
      <c r="BE206">
        <v>2.4</v>
      </c>
      <c r="BF206">
        <v>2.2000000000000002</v>
      </c>
      <c r="BG206">
        <v>23</v>
      </c>
      <c r="BH206">
        <v>-1.5</v>
      </c>
      <c r="BI206">
        <v>2.0499999999999998</v>
      </c>
      <c r="BJ206">
        <v>2</v>
      </c>
      <c r="BK206">
        <v>1.93</v>
      </c>
      <c r="BL206">
        <v>1.86</v>
      </c>
      <c r="BM206">
        <v>1.3</v>
      </c>
      <c r="BN206">
        <v>6.01</v>
      </c>
      <c r="BO206">
        <v>12.12</v>
      </c>
    </row>
    <row r="207" spans="1:67">
      <c r="A207" t="s">
        <v>63</v>
      </c>
      <c r="B207" s="77">
        <v>41665</v>
      </c>
      <c r="C207" t="s">
        <v>77</v>
      </c>
      <c r="D207" t="s">
        <v>84</v>
      </c>
      <c r="E207">
        <v>3</v>
      </c>
      <c r="F207">
        <v>1</v>
      </c>
      <c r="G207" t="s">
        <v>70</v>
      </c>
      <c r="H207">
        <v>3</v>
      </c>
      <c r="I207">
        <v>1</v>
      </c>
      <c r="J207" t="s">
        <v>70</v>
      </c>
      <c r="K207">
        <v>10</v>
      </c>
      <c r="L207">
        <v>12</v>
      </c>
      <c r="M207">
        <v>3</v>
      </c>
      <c r="N207">
        <v>3</v>
      </c>
      <c r="O207">
        <v>19</v>
      </c>
      <c r="P207">
        <v>16</v>
      </c>
      <c r="Q207">
        <v>4</v>
      </c>
      <c r="R207">
        <v>5</v>
      </c>
      <c r="S207">
        <v>3</v>
      </c>
      <c r="T207">
        <v>6</v>
      </c>
      <c r="U207">
        <v>0</v>
      </c>
      <c r="V207">
        <v>0</v>
      </c>
      <c r="W207">
        <v>2.4</v>
      </c>
      <c r="X207">
        <v>3.1</v>
      </c>
      <c r="Y207">
        <v>3.1</v>
      </c>
      <c r="Z207">
        <v>2.4</v>
      </c>
      <c r="AA207">
        <v>3.1</v>
      </c>
      <c r="AB207">
        <v>3.1</v>
      </c>
      <c r="AC207">
        <v>2.2000000000000002</v>
      </c>
      <c r="AD207">
        <v>3.2</v>
      </c>
      <c r="AE207">
        <v>3.2</v>
      </c>
      <c r="AF207">
        <v>2.25</v>
      </c>
      <c r="AG207">
        <v>3.2</v>
      </c>
      <c r="AH207">
        <v>3.25</v>
      </c>
      <c r="AI207">
        <v>2.46</v>
      </c>
      <c r="AJ207">
        <v>3.18</v>
      </c>
      <c r="AK207">
        <v>3.35</v>
      </c>
      <c r="AL207">
        <v>2.4</v>
      </c>
      <c r="AM207">
        <v>3</v>
      </c>
      <c r="AN207">
        <v>3.2</v>
      </c>
      <c r="AO207">
        <v>2.38</v>
      </c>
      <c r="AP207">
        <v>3.13</v>
      </c>
      <c r="AQ207">
        <v>3</v>
      </c>
      <c r="AR207">
        <v>2.4500000000000002</v>
      </c>
      <c r="AS207">
        <v>3.2</v>
      </c>
      <c r="AT207">
        <v>3.25</v>
      </c>
      <c r="AU207">
        <v>41</v>
      </c>
      <c r="AV207">
        <v>2.5</v>
      </c>
      <c r="AW207">
        <v>2.38</v>
      </c>
      <c r="AX207">
        <v>3.3</v>
      </c>
      <c r="AY207">
        <v>3.15</v>
      </c>
      <c r="AZ207">
        <v>3.38</v>
      </c>
      <c r="BA207">
        <v>3.11</v>
      </c>
      <c r="BB207">
        <v>38</v>
      </c>
      <c r="BC207">
        <v>2.37</v>
      </c>
      <c r="BD207">
        <v>2.2000000000000002</v>
      </c>
      <c r="BE207">
        <v>1.75</v>
      </c>
      <c r="BF207">
        <v>1.65</v>
      </c>
      <c r="BG207">
        <v>20</v>
      </c>
      <c r="BH207">
        <v>0</v>
      </c>
      <c r="BI207">
        <v>1.75</v>
      </c>
      <c r="BJ207">
        <v>1.66</v>
      </c>
      <c r="BK207">
        <v>2.37</v>
      </c>
      <c r="BL207">
        <v>2.27</v>
      </c>
      <c r="BM207">
        <v>2.57</v>
      </c>
      <c r="BN207">
        <v>3.25</v>
      </c>
      <c r="BO207">
        <v>3.08</v>
      </c>
    </row>
    <row r="208" spans="1:67">
      <c r="A208" t="s">
        <v>63</v>
      </c>
      <c r="B208" s="77">
        <v>41665</v>
      </c>
      <c r="C208" t="s">
        <v>81</v>
      </c>
      <c r="D208" t="s">
        <v>76</v>
      </c>
      <c r="E208">
        <v>1</v>
      </c>
      <c r="F208">
        <v>0</v>
      </c>
      <c r="G208" t="s">
        <v>70</v>
      </c>
      <c r="H208">
        <v>1</v>
      </c>
      <c r="I208">
        <v>0</v>
      </c>
      <c r="J208" t="s">
        <v>70</v>
      </c>
      <c r="K208">
        <v>12</v>
      </c>
      <c r="L208">
        <v>7</v>
      </c>
      <c r="M208">
        <v>5</v>
      </c>
      <c r="N208">
        <v>2</v>
      </c>
      <c r="O208">
        <v>12</v>
      </c>
      <c r="P208">
        <v>11</v>
      </c>
      <c r="Q208">
        <v>8</v>
      </c>
      <c r="R208">
        <v>5</v>
      </c>
      <c r="S208">
        <v>3</v>
      </c>
      <c r="T208">
        <v>3</v>
      </c>
      <c r="U208">
        <v>0</v>
      </c>
      <c r="V208">
        <v>0</v>
      </c>
      <c r="W208">
        <v>2</v>
      </c>
      <c r="X208">
        <v>3.3</v>
      </c>
      <c r="Y208">
        <v>3.8</v>
      </c>
      <c r="Z208">
        <v>1.87</v>
      </c>
      <c r="AA208">
        <v>3.4</v>
      </c>
      <c r="AB208">
        <v>4.25</v>
      </c>
      <c r="AC208">
        <v>1.9</v>
      </c>
      <c r="AD208">
        <v>3.45</v>
      </c>
      <c r="AE208">
        <v>3.8</v>
      </c>
      <c r="AF208">
        <v>1.91</v>
      </c>
      <c r="AG208">
        <v>3.4</v>
      </c>
      <c r="AH208">
        <v>4</v>
      </c>
      <c r="AI208">
        <v>2.02</v>
      </c>
      <c r="AJ208">
        <v>3.33</v>
      </c>
      <c r="AK208">
        <v>4.45</v>
      </c>
      <c r="AL208">
        <v>2</v>
      </c>
      <c r="AM208">
        <v>3.2</v>
      </c>
      <c r="AN208">
        <v>4</v>
      </c>
      <c r="AO208">
        <v>1.91</v>
      </c>
      <c r="AP208">
        <v>3.3</v>
      </c>
      <c r="AQ208">
        <v>4</v>
      </c>
      <c r="AR208">
        <v>2.0499999999999998</v>
      </c>
      <c r="AS208">
        <v>3.3</v>
      </c>
      <c r="AT208">
        <v>4.0999999999999996</v>
      </c>
      <c r="AU208">
        <v>41</v>
      </c>
      <c r="AV208">
        <v>2.06</v>
      </c>
      <c r="AW208">
        <v>1.98</v>
      </c>
      <c r="AX208">
        <v>3.45</v>
      </c>
      <c r="AY208">
        <v>3.3</v>
      </c>
      <c r="AZ208">
        <v>4.4000000000000004</v>
      </c>
      <c r="BA208">
        <v>3.94</v>
      </c>
      <c r="BB208">
        <v>39</v>
      </c>
      <c r="BC208">
        <v>2.16</v>
      </c>
      <c r="BD208">
        <v>2.0499999999999998</v>
      </c>
      <c r="BE208">
        <v>1.87</v>
      </c>
      <c r="BF208">
        <v>1.74</v>
      </c>
      <c r="BG208">
        <v>20</v>
      </c>
      <c r="BH208">
        <v>-0.5</v>
      </c>
      <c r="BI208">
        <v>2.0499999999999998</v>
      </c>
      <c r="BJ208">
        <v>2</v>
      </c>
      <c r="BK208">
        <v>1.9</v>
      </c>
      <c r="BL208">
        <v>1.87</v>
      </c>
      <c r="BM208">
        <v>2.04</v>
      </c>
      <c r="BN208">
        <v>3.32</v>
      </c>
      <c r="BO208">
        <v>4.3099999999999996</v>
      </c>
    </row>
    <row r="209" spans="1:67">
      <c r="A209" t="s">
        <v>63</v>
      </c>
      <c r="B209" s="77">
        <v>41665</v>
      </c>
      <c r="C209" t="s">
        <v>64</v>
      </c>
      <c r="D209" t="s">
        <v>80</v>
      </c>
      <c r="E209">
        <v>1</v>
      </c>
      <c r="F209">
        <v>1</v>
      </c>
      <c r="G209" t="s">
        <v>67</v>
      </c>
      <c r="H209">
        <v>0</v>
      </c>
      <c r="I209">
        <v>0</v>
      </c>
      <c r="J209" t="s">
        <v>67</v>
      </c>
      <c r="K209">
        <v>15</v>
      </c>
      <c r="L209">
        <v>17</v>
      </c>
      <c r="M209">
        <v>5</v>
      </c>
      <c r="N209">
        <v>5</v>
      </c>
      <c r="O209">
        <v>16</v>
      </c>
      <c r="P209">
        <v>11</v>
      </c>
      <c r="Q209">
        <v>6</v>
      </c>
      <c r="R209">
        <v>5</v>
      </c>
      <c r="S209">
        <v>4</v>
      </c>
      <c r="T209">
        <v>1</v>
      </c>
      <c r="U209">
        <v>0</v>
      </c>
      <c r="V209">
        <v>0</v>
      </c>
      <c r="W209">
        <v>1.75</v>
      </c>
      <c r="X209">
        <v>3.4</v>
      </c>
      <c r="Y209">
        <v>5</v>
      </c>
      <c r="Z209">
        <v>1.75</v>
      </c>
      <c r="AA209">
        <v>3.5</v>
      </c>
      <c r="AB209">
        <v>4.75</v>
      </c>
      <c r="AC209">
        <v>1.75</v>
      </c>
      <c r="AD209">
        <v>3.5</v>
      </c>
      <c r="AE209">
        <v>4.5</v>
      </c>
      <c r="AF209">
        <v>1.8</v>
      </c>
      <c r="AG209">
        <v>3.4</v>
      </c>
      <c r="AH209">
        <v>4.5</v>
      </c>
      <c r="AI209">
        <v>1.79</v>
      </c>
      <c r="AJ209">
        <v>3.58</v>
      </c>
      <c r="AK209">
        <v>5.5</v>
      </c>
      <c r="AL209">
        <v>1.8</v>
      </c>
      <c r="AM209">
        <v>3.25</v>
      </c>
      <c r="AN209">
        <v>5</v>
      </c>
      <c r="AO209">
        <v>1.73</v>
      </c>
      <c r="AP209">
        <v>3.4</v>
      </c>
      <c r="AQ209">
        <v>4.8</v>
      </c>
      <c r="AR209">
        <v>1.833</v>
      </c>
      <c r="AS209">
        <v>3.4</v>
      </c>
      <c r="AT209">
        <v>5.25</v>
      </c>
      <c r="AU209">
        <v>41</v>
      </c>
      <c r="AV209">
        <v>1.83</v>
      </c>
      <c r="AW209">
        <v>1.79</v>
      </c>
      <c r="AX209">
        <v>3.65</v>
      </c>
      <c r="AY209">
        <v>3.43</v>
      </c>
      <c r="AZ209">
        <v>5.5</v>
      </c>
      <c r="BA209">
        <v>4.8</v>
      </c>
      <c r="BB209">
        <v>38</v>
      </c>
      <c r="BC209">
        <v>2.36</v>
      </c>
      <c r="BD209">
        <v>2.2400000000000002</v>
      </c>
      <c r="BE209">
        <v>1.7</v>
      </c>
      <c r="BF209">
        <v>1.63</v>
      </c>
      <c r="BG209">
        <v>19</v>
      </c>
      <c r="BH209">
        <v>-0.5</v>
      </c>
      <c r="BI209">
        <v>1.85</v>
      </c>
      <c r="BJ209">
        <v>1.79</v>
      </c>
      <c r="BK209">
        <v>2.14</v>
      </c>
      <c r="BL209">
        <v>2.08</v>
      </c>
      <c r="BM209">
        <v>1.83</v>
      </c>
      <c r="BN209">
        <v>3.64</v>
      </c>
      <c r="BO209">
        <v>5.0599999999999996</v>
      </c>
    </row>
    <row r="210" spans="1:67">
      <c r="A210" t="s">
        <v>63</v>
      </c>
      <c r="B210" s="77">
        <v>41665</v>
      </c>
      <c r="C210" t="s">
        <v>83</v>
      </c>
      <c r="D210" t="s">
        <v>72</v>
      </c>
      <c r="E210">
        <v>1</v>
      </c>
      <c r="F210">
        <v>0</v>
      </c>
      <c r="G210" t="s">
        <v>70</v>
      </c>
      <c r="H210">
        <v>0</v>
      </c>
      <c r="I210">
        <v>0</v>
      </c>
      <c r="J210" t="s">
        <v>67</v>
      </c>
      <c r="K210">
        <v>18</v>
      </c>
      <c r="L210">
        <v>12</v>
      </c>
      <c r="M210">
        <v>4</v>
      </c>
      <c r="N210">
        <v>2</v>
      </c>
      <c r="O210">
        <v>12</v>
      </c>
      <c r="P210">
        <v>11</v>
      </c>
      <c r="Q210">
        <v>10</v>
      </c>
      <c r="R210">
        <v>3</v>
      </c>
      <c r="S210">
        <v>4</v>
      </c>
      <c r="T210">
        <v>4</v>
      </c>
      <c r="U210">
        <v>0</v>
      </c>
      <c r="V210">
        <v>1</v>
      </c>
      <c r="W210">
        <v>1.75</v>
      </c>
      <c r="X210">
        <v>3.4</v>
      </c>
      <c r="Y210">
        <v>5</v>
      </c>
      <c r="Z210">
        <v>1.75</v>
      </c>
      <c r="AA210">
        <v>3.6</v>
      </c>
      <c r="AB210">
        <v>4.5999999999999996</v>
      </c>
      <c r="AC210">
        <v>1.8</v>
      </c>
      <c r="AD210">
        <v>3.4</v>
      </c>
      <c r="AE210">
        <v>4.4000000000000004</v>
      </c>
      <c r="AF210">
        <v>1.8</v>
      </c>
      <c r="AG210">
        <v>3.5</v>
      </c>
      <c r="AH210">
        <v>4.5</v>
      </c>
      <c r="AI210">
        <v>1.78</v>
      </c>
      <c r="AJ210">
        <v>3.63</v>
      </c>
      <c r="AK210">
        <v>5.45</v>
      </c>
      <c r="AL210">
        <v>1.8</v>
      </c>
      <c r="AM210">
        <v>3.25</v>
      </c>
      <c r="AN210">
        <v>5</v>
      </c>
      <c r="AO210">
        <v>1.73</v>
      </c>
      <c r="AP210">
        <v>3.4</v>
      </c>
      <c r="AQ210">
        <v>4.8</v>
      </c>
      <c r="AR210">
        <v>1.8</v>
      </c>
      <c r="AS210">
        <v>3.5</v>
      </c>
      <c r="AT210">
        <v>5.25</v>
      </c>
      <c r="AU210">
        <v>41</v>
      </c>
      <c r="AV210">
        <v>1.82</v>
      </c>
      <c r="AW210">
        <v>1.76</v>
      </c>
      <c r="AX210">
        <v>3.65</v>
      </c>
      <c r="AY210">
        <v>3.46</v>
      </c>
      <c r="AZ210">
        <v>5.6</v>
      </c>
      <c r="BA210">
        <v>4.88</v>
      </c>
      <c r="BB210">
        <v>39</v>
      </c>
      <c r="BC210">
        <v>2.11</v>
      </c>
      <c r="BD210">
        <v>2.02</v>
      </c>
      <c r="BE210">
        <v>1.85</v>
      </c>
      <c r="BF210">
        <v>1.77</v>
      </c>
      <c r="BG210">
        <v>19</v>
      </c>
      <c r="BH210">
        <v>-0.5</v>
      </c>
      <c r="BI210">
        <v>1.85</v>
      </c>
      <c r="BJ210">
        <v>1.76</v>
      </c>
      <c r="BK210">
        <v>2.2000000000000002</v>
      </c>
      <c r="BL210">
        <v>2.12</v>
      </c>
      <c r="BM210">
        <v>1.76</v>
      </c>
      <c r="BN210">
        <v>3.6</v>
      </c>
      <c r="BO210">
        <v>5.78</v>
      </c>
    </row>
    <row r="211" spans="1:67">
      <c r="A211" t="s">
        <v>63</v>
      </c>
      <c r="B211" s="77">
        <v>41665</v>
      </c>
      <c r="C211" t="s">
        <v>68</v>
      </c>
      <c r="D211" t="s">
        <v>78</v>
      </c>
      <c r="E211">
        <v>1</v>
      </c>
      <c r="F211">
        <v>3</v>
      </c>
      <c r="G211" t="s">
        <v>66</v>
      </c>
      <c r="H211">
        <v>0</v>
      </c>
      <c r="I211">
        <v>1</v>
      </c>
      <c r="J211" t="s">
        <v>66</v>
      </c>
      <c r="K211">
        <v>6</v>
      </c>
      <c r="L211">
        <v>19</v>
      </c>
      <c r="M211">
        <v>3</v>
      </c>
      <c r="N211">
        <v>5</v>
      </c>
      <c r="O211">
        <v>18</v>
      </c>
      <c r="P211">
        <v>11</v>
      </c>
      <c r="Q211">
        <v>4</v>
      </c>
      <c r="R211">
        <v>6</v>
      </c>
      <c r="S211">
        <v>3</v>
      </c>
      <c r="T211">
        <v>2</v>
      </c>
      <c r="U211">
        <v>0</v>
      </c>
      <c r="V211">
        <v>0</v>
      </c>
      <c r="W211">
        <v>4.75</v>
      </c>
      <c r="X211">
        <v>3.6</v>
      </c>
      <c r="Y211">
        <v>1.75</v>
      </c>
      <c r="Z211">
        <v>4.5999999999999996</v>
      </c>
      <c r="AA211">
        <v>3.7</v>
      </c>
      <c r="AB211">
        <v>1.72</v>
      </c>
      <c r="AC211">
        <v>4.5</v>
      </c>
      <c r="AD211">
        <v>3.5</v>
      </c>
      <c r="AE211">
        <v>1.75</v>
      </c>
      <c r="AF211">
        <v>4.5999999999999996</v>
      </c>
      <c r="AG211">
        <v>3.6</v>
      </c>
      <c r="AH211">
        <v>1.75</v>
      </c>
      <c r="AI211">
        <v>5.64</v>
      </c>
      <c r="AJ211">
        <v>3.72</v>
      </c>
      <c r="AK211">
        <v>1.74</v>
      </c>
      <c r="AL211">
        <v>5</v>
      </c>
      <c r="AM211">
        <v>3.4</v>
      </c>
      <c r="AN211">
        <v>1.75</v>
      </c>
      <c r="AO211">
        <v>4.8</v>
      </c>
      <c r="AP211">
        <v>3.5</v>
      </c>
      <c r="AQ211">
        <v>1.73</v>
      </c>
      <c r="AR211">
        <v>4.8</v>
      </c>
      <c r="AS211">
        <v>3.75</v>
      </c>
      <c r="AT211">
        <v>1.75</v>
      </c>
      <c r="AU211">
        <v>41</v>
      </c>
      <c r="AV211">
        <v>5.46</v>
      </c>
      <c r="AW211">
        <v>4.93</v>
      </c>
      <c r="AX211">
        <v>3.8</v>
      </c>
      <c r="AY211">
        <v>3.58</v>
      </c>
      <c r="AZ211">
        <v>1.8</v>
      </c>
      <c r="BA211">
        <v>1.73</v>
      </c>
      <c r="BB211">
        <v>37</v>
      </c>
      <c r="BC211">
        <v>1.75</v>
      </c>
      <c r="BD211">
        <v>1.68</v>
      </c>
      <c r="BE211">
        <v>2.2999999999999998</v>
      </c>
      <c r="BF211">
        <v>2.14</v>
      </c>
      <c r="BG211">
        <v>19</v>
      </c>
      <c r="BH211">
        <v>0.5</v>
      </c>
      <c r="BI211">
        <v>2.25</v>
      </c>
      <c r="BJ211">
        <v>2.16</v>
      </c>
      <c r="BK211">
        <v>1.8</v>
      </c>
      <c r="BL211">
        <v>1.73</v>
      </c>
      <c r="BM211">
        <v>6.8</v>
      </c>
      <c r="BN211">
        <v>4.1500000000000004</v>
      </c>
      <c r="BO211">
        <v>1.58</v>
      </c>
    </row>
    <row r="212" spans="1:67">
      <c r="A212" t="s">
        <v>63</v>
      </c>
      <c r="B212" s="77">
        <v>41671</v>
      </c>
      <c r="C212" t="s">
        <v>80</v>
      </c>
      <c r="D212" t="s">
        <v>76</v>
      </c>
      <c r="E212">
        <v>0</v>
      </c>
      <c r="F212">
        <v>2</v>
      </c>
      <c r="G212" t="s">
        <v>66</v>
      </c>
      <c r="H212">
        <v>0</v>
      </c>
      <c r="I212">
        <v>1</v>
      </c>
      <c r="J212" t="s">
        <v>66</v>
      </c>
      <c r="K212">
        <v>16</v>
      </c>
      <c r="L212">
        <v>6</v>
      </c>
      <c r="M212">
        <v>1</v>
      </c>
      <c r="N212">
        <v>3</v>
      </c>
      <c r="O212">
        <v>8</v>
      </c>
      <c r="P212">
        <v>18</v>
      </c>
      <c r="Q212">
        <v>5</v>
      </c>
      <c r="R212">
        <v>5</v>
      </c>
      <c r="S212">
        <v>3</v>
      </c>
      <c r="T212">
        <v>4</v>
      </c>
      <c r="U212">
        <v>0</v>
      </c>
      <c r="V212">
        <v>0</v>
      </c>
      <c r="W212">
        <v>2.5</v>
      </c>
      <c r="X212">
        <v>3.1</v>
      </c>
      <c r="Y212">
        <v>2.9</v>
      </c>
      <c r="Z212">
        <v>2.6</v>
      </c>
      <c r="AA212">
        <v>3</v>
      </c>
      <c r="AB212">
        <v>2.85</v>
      </c>
      <c r="AC212">
        <v>2.5</v>
      </c>
      <c r="AD212">
        <v>3.1</v>
      </c>
      <c r="AE212">
        <v>2.8</v>
      </c>
      <c r="AF212">
        <v>2.5</v>
      </c>
      <c r="AG212">
        <v>3.1</v>
      </c>
      <c r="AH212">
        <v>2.87</v>
      </c>
      <c r="AI212">
        <v>2.75</v>
      </c>
      <c r="AJ212">
        <v>3.1</v>
      </c>
      <c r="AK212">
        <v>3</v>
      </c>
      <c r="AL212">
        <v>2.7</v>
      </c>
      <c r="AM212">
        <v>3</v>
      </c>
      <c r="AN212">
        <v>2.8</v>
      </c>
      <c r="AO212">
        <v>2.6</v>
      </c>
      <c r="AP212">
        <v>3.13</v>
      </c>
      <c r="AQ212">
        <v>2.75</v>
      </c>
      <c r="AR212">
        <v>2.75</v>
      </c>
      <c r="AS212">
        <v>3.2</v>
      </c>
      <c r="AT212">
        <v>2.9</v>
      </c>
      <c r="AU212">
        <v>45</v>
      </c>
      <c r="AV212">
        <v>2.84</v>
      </c>
      <c r="AW212">
        <v>2.63</v>
      </c>
      <c r="AX212">
        <v>3.25</v>
      </c>
      <c r="AY212">
        <v>3.09</v>
      </c>
      <c r="AZ212">
        <v>2.95</v>
      </c>
      <c r="BA212">
        <v>2.81</v>
      </c>
      <c r="BB212">
        <v>40</v>
      </c>
      <c r="BC212">
        <v>2.4</v>
      </c>
      <c r="BD212">
        <v>2.2799999999999998</v>
      </c>
      <c r="BE212">
        <v>1.67</v>
      </c>
      <c r="BF212">
        <v>1.6</v>
      </c>
      <c r="BG212">
        <v>24</v>
      </c>
      <c r="BH212">
        <v>0</v>
      </c>
      <c r="BI212">
        <v>1.92</v>
      </c>
      <c r="BJ212">
        <v>1.86</v>
      </c>
      <c r="BK212">
        <v>2.0699999999999998</v>
      </c>
      <c r="BL212">
        <v>1.98</v>
      </c>
      <c r="BM212">
        <v>2.69</v>
      </c>
      <c r="BN212">
        <v>3.18</v>
      </c>
      <c r="BO212">
        <v>3</v>
      </c>
    </row>
    <row r="213" spans="1:67">
      <c r="A213" t="s">
        <v>63</v>
      </c>
      <c r="B213" s="77">
        <v>41671</v>
      </c>
      <c r="C213" t="s">
        <v>71</v>
      </c>
      <c r="D213" t="s">
        <v>85</v>
      </c>
      <c r="E213">
        <v>1</v>
      </c>
      <c r="F213">
        <v>0</v>
      </c>
      <c r="G213" t="s">
        <v>70</v>
      </c>
      <c r="H213">
        <v>1</v>
      </c>
      <c r="I213">
        <v>0</v>
      </c>
      <c r="J213" t="s">
        <v>70</v>
      </c>
      <c r="K213">
        <v>13</v>
      </c>
      <c r="L213">
        <v>14</v>
      </c>
      <c r="M213">
        <v>6</v>
      </c>
      <c r="N213">
        <v>3</v>
      </c>
      <c r="O213">
        <v>22</v>
      </c>
      <c r="P213">
        <v>17</v>
      </c>
      <c r="Q213">
        <v>2</v>
      </c>
      <c r="R213">
        <v>7</v>
      </c>
      <c r="S213">
        <v>2</v>
      </c>
      <c r="T213">
        <v>1</v>
      </c>
      <c r="U213">
        <v>0</v>
      </c>
      <c r="V213">
        <v>0</v>
      </c>
      <c r="W213">
        <v>3.25</v>
      </c>
      <c r="X213">
        <v>3.2</v>
      </c>
      <c r="Y213">
        <v>2.25</v>
      </c>
      <c r="Z213">
        <v>3.2</v>
      </c>
      <c r="AA213">
        <v>3.25</v>
      </c>
      <c r="AB213">
        <v>2.25</v>
      </c>
      <c r="AC213">
        <v>3.3</v>
      </c>
      <c r="AD213">
        <v>3.3</v>
      </c>
      <c r="AE213">
        <v>2.1</v>
      </c>
      <c r="AF213">
        <v>3.3</v>
      </c>
      <c r="AG213">
        <v>3.3</v>
      </c>
      <c r="AH213">
        <v>2.2000000000000002</v>
      </c>
      <c r="AI213">
        <v>3.54</v>
      </c>
      <c r="AJ213">
        <v>3.27</v>
      </c>
      <c r="AK213">
        <v>2.31</v>
      </c>
      <c r="AL213">
        <v>3.3</v>
      </c>
      <c r="AM213">
        <v>3.1</v>
      </c>
      <c r="AN213">
        <v>2.2999999999999998</v>
      </c>
      <c r="AO213">
        <v>3.13</v>
      </c>
      <c r="AP213">
        <v>3.13</v>
      </c>
      <c r="AQ213">
        <v>2.2999999999999998</v>
      </c>
      <c r="AR213">
        <v>3.3</v>
      </c>
      <c r="AS213">
        <v>3.3</v>
      </c>
      <c r="AT213">
        <v>2.38</v>
      </c>
      <c r="AU213">
        <v>44</v>
      </c>
      <c r="AV213">
        <v>3.55</v>
      </c>
      <c r="AW213">
        <v>3.24</v>
      </c>
      <c r="AX213">
        <v>3.35</v>
      </c>
      <c r="AY213">
        <v>3.21</v>
      </c>
      <c r="AZ213">
        <v>2.38</v>
      </c>
      <c r="BA213">
        <v>2.2799999999999998</v>
      </c>
      <c r="BB213">
        <v>42</v>
      </c>
      <c r="BC213">
        <v>2.2799999999999998</v>
      </c>
      <c r="BD213">
        <v>2.14</v>
      </c>
      <c r="BE213">
        <v>1.81</v>
      </c>
      <c r="BF213">
        <v>1.68</v>
      </c>
      <c r="BG213">
        <v>21</v>
      </c>
      <c r="BH213">
        <v>0.5</v>
      </c>
      <c r="BI213">
        <v>1.7</v>
      </c>
      <c r="BJ213">
        <v>1.65</v>
      </c>
      <c r="BK213">
        <v>2.4</v>
      </c>
      <c r="BL213">
        <v>2.2999999999999998</v>
      </c>
      <c r="BM213">
        <v>3.23</v>
      </c>
      <c r="BN213">
        <v>3.33</v>
      </c>
      <c r="BO213">
        <v>2.44</v>
      </c>
    </row>
    <row r="214" spans="1:67">
      <c r="A214" t="s">
        <v>63</v>
      </c>
      <c r="B214" s="77">
        <v>41671</v>
      </c>
      <c r="C214" t="s">
        <v>69</v>
      </c>
      <c r="D214" t="s">
        <v>83</v>
      </c>
      <c r="E214">
        <v>1</v>
      </c>
      <c r="F214">
        <v>1</v>
      </c>
      <c r="G214" t="s">
        <v>67</v>
      </c>
      <c r="H214">
        <v>0</v>
      </c>
      <c r="I214">
        <v>1</v>
      </c>
      <c r="J214" t="s">
        <v>66</v>
      </c>
      <c r="K214">
        <v>23</v>
      </c>
      <c r="L214">
        <v>6</v>
      </c>
      <c r="M214">
        <v>6</v>
      </c>
      <c r="N214">
        <v>2</v>
      </c>
      <c r="O214">
        <v>14</v>
      </c>
      <c r="P214">
        <v>12</v>
      </c>
      <c r="Q214">
        <v>13</v>
      </c>
      <c r="R214">
        <v>3</v>
      </c>
      <c r="S214">
        <v>2</v>
      </c>
      <c r="T214">
        <v>2</v>
      </c>
      <c r="U214">
        <v>0</v>
      </c>
      <c r="V214">
        <v>0</v>
      </c>
      <c r="W214">
        <v>1.6</v>
      </c>
      <c r="X214">
        <v>3.8</v>
      </c>
      <c r="Y214">
        <v>5.75</v>
      </c>
      <c r="Z214">
        <v>1.57</v>
      </c>
      <c r="AA214">
        <v>3.8</v>
      </c>
      <c r="AB214">
        <v>6</v>
      </c>
      <c r="AC214">
        <v>1.6</v>
      </c>
      <c r="AD214">
        <v>3.7</v>
      </c>
      <c r="AE214">
        <v>5.4</v>
      </c>
      <c r="AF214">
        <v>1.65</v>
      </c>
      <c r="AG214">
        <v>3.75</v>
      </c>
      <c r="AH214">
        <v>5.5</v>
      </c>
      <c r="AI214">
        <v>1.68</v>
      </c>
      <c r="AJ214">
        <v>3.75</v>
      </c>
      <c r="AK214">
        <v>6.4</v>
      </c>
      <c r="AL214">
        <v>1.67</v>
      </c>
      <c r="AM214">
        <v>3.3</v>
      </c>
      <c r="AN214">
        <v>6</v>
      </c>
      <c r="AO214">
        <v>1.62</v>
      </c>
      <c r="AP214">
        <v>3.75</v>
      </c>
      <c r="AQ214">
        <v>5</v>
      </c>
      <c r="AR214">
        <v>1.57</v>
      </c>
      <c r="AS214">
        <v>3.8</v>
      </c>
      <c r="AT214">
        <v>5.5</v>
      </c>
      <c r="AU214">
        <v>44</v>
      </c>
      <c r="AV214">
        <v>1.7</v>
      </c>
      <c r="AW214">
        <v>1.64</v>
      </c>
      <c r="AX214">
        <v>4</v>
      </c>
      <c r="AY214">
        <v>3.72</v>
      </c>
      <c r="AZ214">
        <v>6.7</v>
      </c>
      <c r="BA214">
        <v>5.59</v>
      </c>
      <c r="BB214">
        <v>43</v>
      </c>
      <c r="BC214">
        <v>1.92</v>
      </c>
      <c r="BD214">
        <v>1.82</v>
      </c>
      <c r="BE214">
        <v>2.04</v>
      </c>
      <c r="BF214">
        <v>1.95</v>
      </c>
      <c r="BG214">
        <v>24</v>
      </c>
      <c r="BH214">
        <v>-1</v>
      </c>
      <c r="BI214">
        <v>2.29</v>
      </c>
      <c r="BJ214">
        <v>2.17</v>
      </c>
      <c r="BK214">
        <v>1.8</v>
      </c>
      <c r="BL214">
        <v>1.72</v>
      </c>
      <c r="BM214">
        <v>1.59</v>
      </c>
      <c r="BN214">
        <v>4.0999999999999996</v>
      </c>
      <c r="BO214">
        <v>6.8</v>
      </c>
    </row>
    <row r="215" spans="1:67">
      <c r="A215" t="s">
        <v>63</v>
      </c>
      <c r="B215" s="77">
        <v>41672</v>
      </c>
      <c r="C215" t="s">
        <v>72</v>
      </c>
      <c r="D215" t="s">
        <v>79</v>
      </c>
      <c r="E215">
        <v>3</v>
      </c>
      <c r="F215">
        <v>0</v>
      </c>
      <c r="G215" t="s">
        <v>70</v>
      </c>
      <c r="H215">
        <v>0</v>
      </c>
      <c r="I215">
        <v>0</v>
      </c>
      <c r="J215" t="s">
        <v>67</v>
      </c>
      <c r="K215">
        <v>10</v>
      </c>
      <c r="L215">
        <v>16</v>
      </c>
      <c r="M215">
        <v>3</v>
      </c>
      <c r="N215">
        <v>3</v>
      </c>
      <c r="O215">
        <v>14</v>
      </c>
      <c r="P215">
        <v>17</v>
      </c>
      <c r="Q215">
        <v>1</v>
      </c>
      <c r="R215">
        <v>6</v>
      </c>
      <c r="S215">
        <v>0</v>
      </c>
      <c r="T215">
        <v>2</v>
      </c>
      <c r="U215">
        <v>0</v>
      </c>
      <c r="V215">
        <v>0</v>
      </c>
      <c r="W215">
        <v>4.33</v>
      </c>
      <c r="X215">
        <v>3.4</v>
      </c>
      <c r="Y215">
        <v>1.85</v>
      </c>
      <c r="Z215">
        <v>4.2</v>
      </c>
      <c r="AA215">
        <v>3.7</v>
      </c>
      <c r="AB215">
        <v>1.8</v>
      </c>
      <c r="AC215">
        <v>4</v>
      </c>
      <c r="AD215">
        <v>3.45</v>
      </c>
      <c r="AE215">
        <v>1.85</v>
      </c>
      <c r="AF215">
        <v>4.2</v>
      </c>
      <c r="AG215">
        <v>3.5</v>
      </c>
      <c r="AH215">
        <v>1.83</v>
      </c>
      <c r="AI215">
        <v>4.53</v>
      </c>
      <c r="AJ215">
        <v>3.6</v>
      </c>
      <c r="AK215">
        <v>1.92</v>
      </c>
      <c r="AL215">
        <v>4.5</v>
      </c>
      <c r="AM215">
        <v>3.3</v>
      </c>
      <c r="AN215">
        <v>1.85</v>
      </c>
      <c r="AO215">
        <v>4</v>
      </c>
      <c r="AP215">
        <v>3.4</v>
      </c>
      <c r="AQ215">
        <v>1.83</v>
      </c>
      <c r="AR215">
        <v>4.2</v>
      </c>
      <c r="AS215">
        <v>3.6</v>
      </c>
      <c r="AT215">
        <v>1.92</v>
      </c>
      <c r="AU215">
        <v>45</v>
      </c>
      <c r="AV215">
        <v>5.0999999999999996</v>
      </c>
      <c r="AW215">
        <v>4.28</v>
      </c>
      <c r="AX215">
        <v>3.75</v>
      </c>
      <c r="AY215">
        <v>3.5</v>
      </c>
      <c r="AZ215">
        <v>1.92</v>
      </c>
      <c r="BA215">
        <v>1.85</v>
      </c>
      <c r="BB215">
        <v>44</v>
      </c>
      <c r="BC215">
        <v>1.94</v>
      </c>
      <c r="BD215">
        <v>1.82</v>
      </c>
      <c r="BE215">
        <v>2.02</v>
      </c>
      <c r="BF215">
        <v>1.96</v>
      </c>
      <c r="BG215">
        <v>23</v>
      </c>
      <c r="BH215">
        <v>0.5</v>
      </c>
      <c r="BI215">
        <v>2.04</v>
      </c>
      <c r="BJ215">
        <v>1.99</v>
      </c>
      <c r="BK215">
        <v>1.93</v>
      </c>
      <c r="BL215">
        <v>1.87</v>
      </c>
      <c r="BM215">
        <v>4.3499999999999996</v>
      </c>
      <c r="BN215">
        <v>3.5</v>
      </c>
      <c r="BO215">
        <v>1.98</v>
      </c>
    </row>
    <row r="216" spans="1:67">
      <c r="A216" t="s">
        <v>63</v>
      </c>
      <c r="B216" s="77">
        <v>41672</v>
      </c>
      <c r="C216" t="s">
        <v>86</v>
      </c>
      <c r="D216" t="s">
        <v>77</v>
      </c>
      <c r="E216">
        <v>3</v>
      </c>
      <c r="F216">
        <v>3</v>
      </c>
      <c r="G216" t="s">
        <v>67</v>
      </c>
      <c r="H216">
        <v>0</v>
      </c>
      <c r="I216">
        <v>0</v>
      </c>
      <c r="J216" t="s">
        <v>67</v>
      </c>
      <c r="K216">
        <v>15</v>
      </c>
      <c r="L216">
        <v>17</v>
      </c>
      <c r="M216">
        <v>6</v>
      </c>
      <c r="N216">
        <v>7</v>
      </c>
      <c r="O216">
        <v>26</v>
      </c>
      <c r="P216">
        <v>16</v>
      </c>
      <c r="Q216">
        <v>4</v>
      </c>
      <c r="R216">
        <v>2</v>
      </c>
      <c r="S216">
        <v>5</v>
      </c>
      <c r="T216">
        <v>5</v>
      </c>
      <c r="U216">
        <v>0</v>
      </c>
      <c r="V216">
        <v>0</v>
      </c>
      <c r="W216">
        <v>1.91</v>
      </c>
      <c r="X216">
        <v>3.4</v>
      </c>
      <c r="Y216">
        <v>4</v>
      </c>
      <c r="Z216">
        <v>1.91</v>
      </c>
      <c r="AA216">
        <v>3.4</v>
      </c>
      <c r="AB216">
        <v>4</v>
      </c>
      <c r="AC216">
        <v>2</v>
      </c>
      <c r="AD216">
        <v>3.3</v>
      </c>
      <c r="AE216">
        <v>3.6</v>
      </c>
      <c r="AF216">
        <v>1.9</v>
      </c>
      <c r="AG216">
        <v>3.4</v>
      </c>
      <c r="AH216">
        <v>4</v>
      </c>
      <c r="AI216">
        <v>1.91</v>
      </c>
      <c r="AJ216">
        <v>3.54</v>
      </c>
      <c r="AK216">
        <v>4.68</v>
      </c>
      <c r="AL216">
        <v>1.91</v>
      </c>
      <c r="AM216">
        <v>3.2</v>
      </c>
      <c r="AN216">
        <v>4.33</v>
      </c>
      <c r="AO216">
        <v>1.83</v>
      </c>
      <c r="AP216">
        <v>3.3</v>
      </c>
      <c r="AQ216">
        <v>4</v>
      </c>
      <c r="AR216">
        <v>1.92</v>
      </c>
      <c r="AS216">
        <v>3.4</v>
      </c>
      <c r="AT216">
        <v>4.5</v>
      </c>
      <c r="AU216">
        <v>45</v>
      </c>
      <c r="AV216">
        <v>2</v>
      </c>
      <c r="AW216">
        <v>1.9</v>
      </c>
      <c r="AX216">
        <v>3.55</v>
      </c>
      <c r="AY216">
        <v>3.39</v>
      </c>
      <c r="AZ216">
        <v>4.8</v>
      </c>
      <c r="BA216">
        <v>4.2</v>
      </c>
      <c r="BB216">
        <v>43</v>
      </c>
      <c r="BC216">
        <v>2.2000000000000002</v>
      </c>
      <c r="BD216">
        <v>2.12</v>
      </c>
      <c r="BE216">
        <v>1.78</v>
      </c>
      <c r="BF216">
        <v>1.7</v>
      </c>
      <c r="BG216">
        <v>23</v>
      </c>
      <c r="BH216">
        <v>-0.5</v>
      </c>
      <c r="BI216">
        <v>1.95</v>
      </c>
      <c r="BJ216">
        <v>1.89</v>
      </c>
      <c r="BK216">
        <v>2.0299999999999998</v>
      </c>
      <c r="BL216">
        <v>1.97</v>
      </c>
      <c r="BM216">
        <v>1.85</v>
      </c>
      <c r="BN216">
        <v>3.69</v>
      </c>
      <c r="BO216">
        <v>4.7699999999999996</v>
      </c>
    </row>
    <row r="217" spans="1:67">
      <c r="A217" t="s">
        <v>63</v>
      </c>
      <c r="B217" s="77">
        <v>41672</v>
      </c>
      <c r="C217" t="s">
        <v>82</v>
      </c>
      <c r="D217" t="s">
        <v>75</v>
      </c>
      <c r="E217">
        <v>0</v>
      </c>
      <c r="F217">
        <v>2</v>
      </c>
      <c r="G217" t="s">
        <v>66</v>
      </c>
      <c r="H217">
        <v>0</v>
      </c>
      <c r="I217">
        <v>1</v>
      </c>
      <c r="J217" t="s">
        <v>66</v>
      </c>
      <c r="K217">
        <v>11</v>
      </c>
      <c r="L217">
        <v>12</v>
      </c>
      <c r="M217">
        <v>0</v>
      </c>
      <c r="N217">
        <v>6</v>
      </c>
      <c r="O217">
        <v>14</v>
      </c>
      <c r="P217">
        <v>9</v>
      </c>
      <c r="Q217">
        <v>5</v>
      </c>
      <c r="R217">
        <v>6</v>
      </c>
      <c r="S217">
        <v>2</v>
      </c>
      <c r="T217">
        <v>1</v>
      </c>
      <c r="U217">
        <v>0</v>
      </c>
      <c r="V217">
        <v>0</v>
      </c>
      <c r="W217">
        <v>3.1</v>
      </c>
      <c r="X217">
        <v>3.1</v>
      </c>
      <c r="Y217">
        <v>2.4</v>
      </c>
      <c r="Z217">
        <v>3</v>
      </c>
      <c r="AA217">
        <v>3.1</v>
      </c>
      <c r="AB217">
        <v>2.4500000000000002</v>
      </c>
      <c r="AC217">
        <v>3</v>
      </c>
      <c r="AD217">
        <v>3.2</v>
      </c>
      <c r="AE217">
        <v>2.2999999999999998</v>
      </c>
      <c r="AF217">
        <v>3.1</v>
      </c>
      <c r="AG217">
        <v>3.2</v>
      </c>
      <c r="AH217">
        <v>2.2999999999999998</v>
      </c>
      <c r="AI217">
        <v>3.36</v>
      </c>
      <c r="AJ217">
        <v>3.18</v>
      </c>
      <c r="AK217">
        <v>2.4500000000000002</v>
      </c>
      <c r="AL217">
        <v>3</v>
      </c>
      <c r="AM217">
        <v>3</v>
      </c>
      <c r="AN217">
        <v>2.5</v>
      </c>
      <c r="AO217">
        <v>3.13</v>
      </c>
      <c r="AP217">
        <v>3.13</v>
      </c>
      <c r="AQ217">
        <v>2.2999999999999998</v>
      </c>
      <c r="AR217">
        <v>3.3</v>
      </c>
      <c r="AS217">
        <v>3.1</v>
      </c>
      <c r="AT217">
        <v>2.4500000000000002</v>
      </c>
      <c r="AU217">
        <v>45</v>
      </c>
      <c r="AV217">
        <v>3.35</v>
      </c>
      <c r="AW217">
        <v>3.12</v>
      </c>
      <c r="AX217">
        <v>3.25</v>
      </c>
      <c r="AY217">
        <v>3.11</v>
      </c>
      <c r="AZ217">
        <v>2.5</v>
      </c>
      <c r="BA217">
        <v>2.39</v>
      </c>
      <c r="BB217">
        <v>42</v>
      </c>
      <c r="BC217">
        <v>2.5</v>
      </c>
      <c r="BD217">
        <v>2.36</v>
      </c>
      <c r="BE217">
        <v>1.66</v>
      </c>
      <c r="BF217">
        <v>1.57</v>
      </c>
      <c r="BG217">
        <v>22</v>
      </c>
      <c r="BH217">
        <v>0.25</v>
      </c>
      <c r="BI217">
        <v>1.9</v>
      </c>
      <c r="BJ217">
        <v>1.84</v>
      </c>
      <c r="BK217">
        <v>2.09</v>
      </c>
      <c r="BL217">
        <v>2.0299999999999998</v>
      </c>
      <c r="BM217">
        <v>3.32</v>
      </c>
      <c r="BN217">
        <v>3.08</v>
      </c>
      <c r="BO217">
        <v>2.5299999999999998</v>
      </c>
    </row>
    <row r="218" spans="1:67">
      <c r="A218" t="s">
        <v>63</v>
      </c>
      <c r="B218" s="77">
        <v>41672</v>
      </c>
      <c r="C218" t="s">
        <v>65</v>
      </c>
      <c r="D218" t="s">
        <v>73</v>
      </c>
      <c r="E218">
        <v>3</v>
      </c>
      <c r="F218">
        <v>1</v>
      </c>
      <c r="G218" t="s">
        <v>70</v>
      </c>
      <c r="H218">
        <v>1</v>
      </c>
      <c r="I218">
        <v>0</v>
      </c>
      <c r="J218" t="s">
        <v>70</v>
      </c>
      <c r="K218">
        <v>20</v>
      </c>
      <c r="L218">
        <v>7</v>
      </c>
      <c r="M218">
        <v>9</v>
      </c>
      <c r="N218">
        <v>2</v>
      </c>
      <c r="O218">
        <v>11</v>
      </c>
      <c r="P218">
        <v>13</v>
      </c>
      <c r="Q218">
        <v>8</v>
      </c>
      <c r="R218">
        <v>4</v>
      </c>
      <c r="S218">
        <v>1</v>
      </c>
      <c r="T218">
        <v>2</v>
      </c>
      <c r="U218">
        <v>0</v>
      </c>
      <c r="V218">
        <v>0</v>
      </c>
      <c r="W218">
        <v>1.4</v>
      </c>
      <c r="X218">
        <v>4.5</v>
      </c>
      <c r="Y218">
        <v>7.5</v>
      </c>
      <c r="Z218">
        <v>1.42</v>
      </c>
      <c r="AA218">
        <v>4.5</v>
      </c>
      <c r="AB218">
        <v>7.25</v>
      </c>
      <c r="AC218">
        <v>1.47</v>
      </c>
      <c r="AD218">
        <v>4</v>
      </c>
      <c r="AE218">
        <v>6.6</v>
      </c>
      <c r="AF218">
        <v>1.44</v>
      </c>
      <c r="AG218">
        <v>4.33</v>
      </c>
      <c r="AH218">
        <v>7</v>
      </c>
      <c r="AI218">
        <v>1.45</v>
      </c>
      <c r="AJ218">
        <v>4.7</v>
      </c>
      <c r="AK218">
        <v>8.33</v>
      </c>
      <c r="AL218">
        <v>1.44</v>
      </c>
      <c r="AM218">
        <v>4</v>
      </c>
      <c r="AN218">
        <v>8</v>
      </c>
      <c r="AO218">
        <v>1.44</v>
      </c>
      <c r="AP218">
        <v>4.33</v>
      </c>
      <c r="AQ218">
        <v>7</v>
      </c>
      <c r="AR218">
        <v>1.45</v>
      </c>
      <c r="AS218">
        <v>4.75</v>
      </c>
      <c r="AT218">
        <v>7.5</v>
      </c>
      <c r="AU218">
        <v>44</v>
      </c>
      <c r="AV218">
        <v>1.48</v>
      </c>
      <c r="AW218">
        <v>1.43</v>
      </c>
      <c r="AX218">
        <v>4.8899999999999997</v>
      </c>
      <c r="AY218">
        <v>4.41</v>
      </c>
      <c r="AZ218">
        <v>8.64</v>
      </c>
      <c r="BA218">
        <v>7.52</v>
      </c>
      <c r="BB218">
        <v>39</v>
      </c>
      <c r="BC218">
        <v>1.74</v>
      </c>
      <c r="BD218">
        <v>1.67</v>
      </c>
      <c r="BE218">
        <v>2.2999999999999998</v>
      </c>
      <c r="BF218">
        <v>2.16</v>
      </c>
      <c r="BG218">
        <v>23</v>
      </c>
      <c r="BH218">
        <v>-1</v>
      </c>
      <c r="BI218">
        <v>1.75</v>
      </c>
      <c r="BJ218">
        <v>1.7</v>
      </c>
      <c r="BK218">
        <v>2.2799999999999998</v>
      </c>
      <c r="BL218">
        <v>2.2000000000000002</v>
      </c>
      <c r="BM218">
        <v>1.37</v>
      </c>
      <c r="BN218">
        <v>5.2</v>
      </c>
      <c r="BO218">
        <v>10</v>
      </c>
    </row>
    <row r="219" spans="1:67">
      <c r="A219" t="s">
        <v>63</v>
      </c>
      <c r="B219" s="77">
        <v>41672</v>
      </c>
      <c r="C219" t="s">
        <v>84</v>
      </c>
      <c r="D219" t="s">
        <v>68</v>
      </c>
      <c r="E219">
        <v>1</v>
      </c>
      <c r="F219">
        <v>2</v>
      </c>
      <c r="G219" t="s">
        <v>66</v>
      </c>
      <c r="H219">
        <v>0</v>
      </c>
      <c r="I219">
        <v>0</v>
      </c>
      <c r="J219" t="s">
        <v>67</v>
      </c>
      <c r="K219">
        <v>12</v>
      </c>
      <c r="L219">
        <v>13</v>
      </c>
      <c r="M219">
        <v>2</v>
      </c>
      <c r="N219">
        <v>1</v>
      </c>
      <c r="O219">
        <v>15</v>
      </c>
      <c r="P219">
        <v>19</v>
      </c>
      <c r="Q219">
        <v>6</v>
      </c>
      <c r="R219">
        <v>5</v>
      </c>
      <c r="S219">
        <v>2</v>
      </c>
      <c r="T219">
        <v>3</v>
      </c>
      <c r="U219">
        <v>0</v>
      </c>
      <c r="V219">
        <v>0</v>
      </c>
      <c r="W219">
        <v>2.38</v>
      </c>
      <c r="X219">
        <v>3.2</v>
      </c>
      <c r="Y219">
        <v>3</v>
      </c>
      <c r="Z219">
        <v>2.4</v>
      </c>
      <c r="AA219">
        <v>3.2</v>
      </c>
      <c r="AB219">
        <v>3</v>
      </c>
      <c r="AC219">
        <v>2.2999999999999998</v>
      </c>
      <c r="AD219">
        <v>3.3</v>
      </c>
      <c r="AE219">
        <v>2.9</v>
      </c>
      <c r="AF219">
        <v>2.37</v>
      </c>
      <c r="AG219">
        <v>3.3</v>
      </c>
      <c r="AH219">
        <v>2.9</v>
      </c>
      <c r="AI219">
        <v>2.38</v>
      </c>
      <c r="AJ219">
        <v>3.31</v>
      </c>
      <c r="AK219">
        <v>3.36</v>
      </c>
      <c r="AL219">
        <v>2.4</v>
      </c>
      <c r="AM219">
        <v>3.1</v>
      </c>
      <c r="AN219">
        <v>3.1</v>
      </c>
      <c r="AO219">
        <v>2.25</v>
      </c>
      <c r="AP219">
        <v>3.25</v>
      </c>
      <c r="AQ219">
        <v>3</v>
      </c>
      <c r="AR219">
        <v>2.4</v>
      </c>
      <c r="AS219">
        <v>3.25</v>
      </c>
      <c r="AT219">
        <v>3.12</v>
      </c>
      <c r="AU219">
        <v>45</v>
      </c>
      <c r="AV219">
        <v>2.44</v>
      </c>
      <c r="AW219">
        <v>2.34</v>
      </c>
      <c r="AX219">
        <v>3.45</v>
      </c>
      <c r="AY219">
        <v>3.25</v>
      </c>
      <c r="AZ219">
        <v>3.39</v>
      </c>
      <c r="BA219">
        <v>3.07</v>
      </c>
      <c r="BB219">
        <v>44</v>
      </c>
      <c r="BC219">
        <v>1.94</v>
      </c>
      <c r="BD219">
        <v>1.85</v>
      </c>
      <c r="BE219">
        <v>2</v>
      </c>
      <c r="BF219">
        <v>1.93</v>
      </c>
      <c r="BG219">
        <v>22</v>
      </c>
      <c r="BH219">
        <v>-0.25</v>
      </c>
      <c r="BI219">
        <v>2.0499999999999998</v>
      </c>
      <c r="BJ219">
        <v>1.99</v>
      </c>
      <c r="BK219">
        <v>1.92</v>
      </c>
      <c r="BL219">
        <v>1.88</v>
      </c>
      <c r="BM219">
        <v>2.2599999999999998</v>
      </c>
      <c r="BN219">
        <v>3.46</v>
      </c>
      <c r="BO219">
        <v>3.5</v>
      </c>
    </row>
    <row r="220" spans="1:67">
      <c r="A220" t="s">
        <v>63</v>
      </c>
      <c r="B220" s="77">
        <v>41673</v>
      </c>
      <c r="C220" t="s">
        <v>74</v>
      </c>
      <c r="D220" t="s">
        <v>64</v>
      </c>
      <c r="E220">
        <v>0</v>
      </c>
      <c r="F220">
        <v>1</v>
      </c>
      <c r="G220" t="s">
        <v>66</v>
      </c>
      <c r="H220">
        <v>0</v>
      </c>
      <c r="I220">
        <v>1</v>
      </c>
      <c r="J220" t="s">
        <v>66</v>
      </c>
      <c r="K220">
        <v>12</v>
      </c>
      <c r="L220">
        <v>12</v>
      </c>
      <c r="M220">
        <v>4</v>
      </c>
      <c r="N220">
        <v>7</v>
      </c>
      <c r="O220">
        <v>14</v>
      </c>
      <c r="P220">
        <v>22</v>
      </c>
      <c r="Q220">
        <v>5</v>
      </c>
      <c r="R220">
        <v>5</v>
      </c>
      <c r="S220">
        <v>4</v>
      </c>
      <c r="T220">
        <v>1</v>
      </c>
      <c r="U220">
        <v>0</v>
      </c>
      <c r="V220">
        <v>0</v>
      </c>
      <c r="W220">
        <v>2.5</v>
      </c>
      <c r="X220">
        <v>3.2</v>
      </c>
      <c r="Y220">
        <v>2.88</v>
      </c>
      <c r="Z220">
        <v>2.6</v>
      </c>
      <c r="AA220">
        <v>3.1</v>
      </c>
      <c r="AB220">
        <v>2.8</v>
      </c>
      <c r="AC220">
        <v>2.5</v>
      </c>
      <c r="AD220">
        <v>3.1</v>
      </c>
      <c r="AE220">
        <v>2.8</v>
      </c>
      <c r="AF220">
        <v>2.4500000000000002</v>
      </c>
      <c r="AG220">
        <v>3.2</v>
      </c>
      <c r="AH220">
        <v>2.87</v>
      </c>
      <c r="AI220">
        <v>2.66</v>
      </c>
      <c r="AJ220">
        <v>3.17</v>
      </c>
      <c r="AK220">
        <v>3.05</v>
      </c>
      <c r="AL220">
        <v>2.7</v>
      </c>
      <c r="AM220">
        <v>3</v>
      </c>
      <c r="AN220">
        <v>2.8</v>
      </c>
      <c r="AO220">
        <v>2.5</v>
      </c>
      <c r="AP220">
        <v>3.13</v>
      </c>
      <c r="AQ220">
        <v>2.88</v>
      </c>
      <c r="AR220">
        <v>2.5499999999999998</v>
      </c>
      <c r="AS220">
        <v>3.2</v>
      </c>
      <c r="AT220">
        <v>3.1</v>
      </c>
      <c r="AU220">
        <v>43</v>
      </c>
      <c r="AV220">
        <v>2.7</v>
      </c>
      <c r="AW220">
        <v>2.56</v>
      </c>
      <c r="AX220">
        <v>3.25</v>
      </c>
      <c r="AY220">
        <v>3.12</v>
      </c>
      <c r="AZ220">
        <v>3.05</v>
      </c>
      <c r="BA220">
        <v>2.88</v>
      </c>
      <c r="BB220">
        <v>38</v>
      </c>
      <c r="BC220">
        <v>2.36</v>
      </c>
      <c r="BD220">
        <v>2.2200000000000002</v>
      </c>
      <c r="BE220">
        <v>1.74</v>
      </c>
      <c r="BF220">
        <v>1.64</v>
      </c>
      <c r="BG220">
        <v>24</v>
      </c>
      <c r="BH220">
        <v>0</v>
      </c>
      <c r="BI220">
        <v>1.85</v>
      </c>
      <c r="BJ220">
        <v>1.81</v>
      </c>
      <c r="BK220">
        <v>2.13</v>
      </c>
      <c r="BL220">
        <v>2.0499999999999998</v>
      </c>
      <c r="BM220">
        <v>3.17</v>
      </c>
      <c r="BN220">
        <v>3.09</v>
      </c>
      <c r="BO220">
        <v>2.6</v>
      </c>
    </row>
    <row r="221" spans="1:67">
      <c r="A221" t="s">
        <v>63</v>
      </c>
      <c r="B221" s="77">
        <v>41678</v>
      </c>
      <c r="C221" t="s">
        <v>85</v>
      </c>
      <c r="D221" t="s">
        <v>72</v>
      </c>
      <c r="E221">
        <v>2</v>
      </c>
      <c r="F221">
        <v>0</v>
      </c>
      <c r="G221" t="s">
        <v>70</v>
      </c>
      <c r="H221">
        <v>1</v>
      </c>
      <c r="I221">
        <v>0</v>
      </c>
      <c r="J221" t="s">
        <v>70</v>
      </c>
      <c r="K221">
        <v>19</v>
      </c>
      <c r="L221">
        <v>11</v>
      </c>
      <c r="M221">
        <v>5</v>
      </c>
      <c r="N221">
        <v>3</v>
      </c>
      <c r="O221">
        <v>13</v>
      </c>
      <c r="P221">
        <v>14</v>
      </c>
      <c r="Q221">
        <v>11</v>
      </c>
      <c r="R221">
        <v>6</v>
      </c>
      <c r="S221">
        <v>1</v>
      </c>
      <c r="T221">
        <v>2</v>
      </c>
      <c r="U221">
        <v>0</v>
      </c>
      <c r="V221">
        <v>1</v>
      </c>
      <c r="W221">
        <v>1.44</v>
      </c>
      <c r="X221">
        <v>4.33</v>
      </c>
      <c r="Y221">
        <v>7</v>
      </c>
      <c r="Z221">
        <v>1.42</v>
      </c>
      <c r="AA221">
        <v>4.4000000000000004</v>
      </c>
      <c r="AB221">
        <v>7.25</v>
      </c>
      <c r="AC221">
        <v>1.4</v>
      </c>
      <c r="AD221">
        <v>4.4000000000000004</v>
      </c>
      <c r="AE221">
        <v>7.3</v>
      </c>
      <c r="AF221">
        <v>1.44</v>
      </c>
      <c r="AG221">
        <v>4.33</v>
      </c>
      <c r="AH221">
        <v>7</v>
      </c>
      <c r="AI221">
        <v>1.48</v>
      </c>
      <c r="AJ221">
        <v>4.49</v>
      </c>
      <c r="AK221">
        <v>8.34</v>
      </c>
      <c r="AL221">
        <v>1.5</v>
      </c>
      <c r="AM221">
        <v>3.6</v>
      </c>
      <c r="AN221">
        <v>8</v>
      </c>
      <c r="AO221">
        <v>1.44</v>
      </c>
      <c r="AP221">
        <v>4</v>
      </c>
      <c r="AQ221">
        <v>6.5</v>
      </c>
      <c r="AR221">
        <v>1.5</v>
      </c>
      <c r="AS221">
        <v>4.4000000000000004</v>
      </c>
      <c r="AT221">
        <v>7.5</v>
      </c>
      <c r="AU221">
        <v>44</v>
      </c>
      <c r="AV221">
        <v>1.5</v>
      </c>
      <c r="AW221">
        <v>1.46</v>
      </c>
      <c r="AX221">
        <v>5</v>
      </c>
      <c r="AY221">
        <v>4.1900000000000004</v>
      </c>
      <c r="AZ221">
        <v>8.9</v>
      </c>
      <c r="BA221">
        <v>7.43</v>
      </c>
      <c r="BB221">
        <v>43</v>
      </c>
      <c r="BC221">
        <v>1.91</v>
      </c>
      <c r="BD221">
        <v>1.82</v>
      </c>
      <c r="BE221">
        <v>2.12</v>
      </c>
      <c r="BF221">
        <v>1.97</v>
      </c>
      <c r="BG221">
        <v>26</v>
      </c>
      <c r="BH221">
        <v>-1</v>
      </c>
      <c r="BI221">
        <v>1.83</v>
      </c>
      <c r="BJ221">
        <v>1.78</v>
      </c>
      <c r="BK221">
        <v>2.2000000000000002</v>
      </c>
      <c r="BL221">
        <v>2.1</v>
      </c>
      <c r="BM221">
        <v>1.58</v>
      </c>
      <c r="BN221">
        <v>3.99</v>
      </c>
      <c r="BO221">
        <v>7.28</v>
      </c>
    </row>
    <row r="222" spans="1:67">
      <c r="A222" t="s">
        <v>63</v>
      </c>
      <c r="B222" s="77">
        <v>41678</v>
      </c>
      <c r="C222" t="s">
        <v>79</v>
      </c>
      <c r="D222" t="s">
        <v>69</v>
      </c>
      <c r="E222">
        <v>3</v>
      </c>
      <c r="F222">
        <v>1</v>
      </c>
      <c r="G222" t="s">
        <v>70</v>
      </c>
      <c r="H222">
        <v>1</v>
      </c>
      <c r="I222">
        <v>1</v>
      </c>
      <c r="J222" t="s">
        <v>67</v>
      </c>
      <c r="K222">
        <v>27</v>
      </c>
      <c r="L222">
        <v>8</v>
      </c>
      <c r="M222">
        <v>14</v>
      </c>
      <c r="N222">
        <v>6</v>
      </c>
      <c r="O222">
        <v>10</v>
      </c>
      <c r="P222">
        <v>17</v>
      </c>
      <c r="Q222">
        <v>5</v>
      </c>
      <c r="R222">
        <v>0</v>
      </c>
      <c r="S222">
        <v>3</v>
      </c>
      <c r="T222">
        <v>2</v>
      </c>
      <c r="U222">
        <v>0</v>
      </c>
      <c r="V222">
        <v>0</v>
      </c>
      <c r="W222">
        <v>2</v>
      </c>
      <c r="X222">
        <v>3.4</v>
      </c>
      <c r="Y222">
        <v>3.75</v>
      </c>
      <c r="Z222">
        <v>1.91</v>
      </c>
      <c r="AA222">
        <v>3.5</v>
      </c>
      <c r="AB222">
        <v>3.9</v>
      </c>
      <c r="AC222">
        <v>2.1</v>
      </c>
      <c r="AD222">
        <v>3.3</v>
      </c>
      <c r="AE222">
        <v>3.3</v>
      </c>
      <c r="AF222">
        <v>1.95</v>
      </c>
      <c r="AG222">
        <v>3.4</v>
      </c>
      <c r="AH222">
        <v>3.8</v>
      </c>
      <c r="AI222">
        <v>2.08</v>
      </c>
      <c r="AJ222">
        <v>3.55</v>
      </c>
      <c r="AK222">
        <v>3.86</v>
      </c>
      <c r="AL222">
        <v>2.0499999999999998</v>
      </c>
      <c r="AM222">
        <v>3.1</v>
      </c>
      <c r="AN222">
        <v>4</v>
      </c>
      <c r="AO222">
        <v>2</v>
      </c>
      <c r="AP222">
        <v>3.3</v>
      </c>
      <c r="AQ222">
        <v>3.6</v>
      </c>
      <c r="AR222">
        <v>2.1</v>
      </c>
      <c r="AS222">
        <v>3.4</v>
      </c>
      <c r="AT222">
        <v>3.7</v>
      </c>
      <c r="AU222">
        <v>44</v>
      </c>
      <c r="AV222">
        <v>2.1</v>
      </c>
      <c r="AW222">
        <v>2.02</v>
      </c>
      <c r="AX222">
        <v>3.6</v>
      </c>
      <c r="AY222">
        <v>3.38</v>
      </c>
      <c r="AZ222">
        <v>4.0999999999999996</v>
      </c>
      <c r="BA222">
        <v>3.77</v>
      </c>
      <c r="BB222">
        <v>43</v>
      </c>
      <c r="BC222">
        <v>1.89</v>
      </c>
      <c r="BD222">
        <v>1.81</v>
      </c>
      <c r="BE222">
        <v>2.15</v>
      </c>
      <c r="BF222">
        <v>1.97</v>
      </c>
      <c r="BG222">
        <v>23</v>
      </c>
      <c r="BH222">
        <v>-0.5</v>
      </c>
      <c r="BI222">
        <v>2.1</v>
      </c>
      <c r="BJ222">
        <v>2.04</v>
      </c>
      <c r="BK222">
        <v>1.88</v>
      </c>
      <c r="BL222">
        <v>1.83</v>
      </c>
      <c r="BM222">
        <v>2.0699999999999998</v>
      </c>
      <c r="BN222">
        <v>3.51</v>
      </c>
      <c r="BO222">
        <v>3.95</v>
      </c>
    </row>
    <row r="223" spans="1:67">
      <c r="A223" t="s">
        <v>63</v>
      </c>
      <c r="B223" s="77">
        <v>41678</v>
      </c>
      <c r="C223" t="s">
        <v>76</v>
      </c>
      <c r="D223" t="s">
        <v>82</v>
      </c>
      <c r="E223">
        <v>3</v>
      </c>
      <c r="F223">
        <v>0</v>
      </c>
      <c r="G223" t="s">
        <v>70</v>
      </c>
      <c r="H223">
        <v>0</v>
      </c>
      <c r="I223">
        <v>0</v>
      </c>
      <c r="J223" t="s">
        <v>67</v>
      </c>
      <c r="K223">
        <v>10</v>
      </c>
      <c r="L223">
        <v>9</v>
      </c>
      <c r="M223">
        <v>5</v>
      </c>
      <c r="N223">
        <v>3</v>
      </c>
      <c r="O223">
        <v>12</v>
      </c>
      <c r="P223">
        <v>10</v>
      </c>
      <c r="Q223">
        <v>1</v>
      </c>
      <c r="R223">
        <v>6</v>
      </c>
      <c r="S223">
        <v>0</v>
      </c>
      <c r="T223">
        <v>2</v>
      </c>
      <c r="U223">
        <v>0</v>
      </c>
      <c r="V223">
        <v>0</v>
      </c>
      <c r="W223">
        <v>1.83</v>
      </c>
      <c r="X223">
        <v>3.4</v>
      </c>
      <c r="Y223">
        <v>4.5</v>
      </c>
      <c r="Z223">
        <v>1.8</v>
      </c>
      <c r="AA223">
        <v>3.5</v>
      </c>
      <c r="AB223">
        <v>4.5</v>
      </c>
      <c r="AC223">
        <v>1.8</v>
      </c>
      <c r="AD223">
        <v>3.5</v>
      </c>
      <c r="AE223">
        <v>4.2</v>
      </c>
      <c r="AF223">
        <v>1.83</v>
      </c>
      <c r="AG223">
        <v>3.4</v>
      </c>
      <c r="AH223">
        <v>4.5</v>
      </c>
      <c r="AI223">
        <v>1.85</v>
      </c>
      <c r="AJ223">
        <v>3.41</v>
      </c>
      <c r="AK223">
        <v>5.38</v>
      </c>
      <c r="AL223">
        <v>1.91</v>
      </c>
      <c r="AM223">
        <v>3.1</v>
      </c>
      <c r="AN223">
        <v>4.5</v>
      </c>
      <c r="AO223">
        <v>1.8</v>
      </c>
      <c r="AP223">
        <v>3.3</v>
      </c>
      <c r="AQ223">
        <v>4.33</v>
      </c>
      <c r="AR223">
        <v>1.87</v>
      </c>
      <c r="AS223">
        <v>3.4</v>
      </c>
      <c r="AT223">
        <v>5</v>
      </c>
      <c r="AU223">
        <v>44</v>
      </c>
      <c r="AV223">
        <v>1.91</v>
      </c>
      <c r="AW223">
        <v>1.84</v>
      </c>
      <c r="AX223">
        <v>3.6</v>
      </c>
      <c r="AY223">
        <v>3.33</v>
      </c>
      <c r="AZ223">
        <v>5.4</v>
      </c>
      <c r="BA223">
        <v>4.67</v>
      </c>
      <c r="BB223">
        <v>39</v>
      </c>
      <c r="BC223">
        <v>2.4300000000000002</v>
      </c>
      <c r="BD223">
        <v>2.2999999999999998</v>
      </c>
      <c r="BE223">
        <v>1.67</v>
      </c>
      <c r="BF223">
        <v>1.59</v>
      </c>
      <c r="BG223">
        <v>23</v>
      </c>
      <c r="BH223">
        <v>-0.5</v>
      </c>
      <c r="BI223">
        <v>1.9</v>
      </c>
      <c r="BJ223">
        <v>1.84</v>
      </c>
      <c r="BK223">
        <v>2.08</v>
      </c>
      <c r="BL223">
        <v>2.0299999999999998</v>
      </c>
      <c r="BM223">
        <v>1.88</v>
      </c>
      <c r="BN223">
        <v>3.46</v>
      </c>
      <c r="BO223">
        <v>5.04</v>
      </c>
    </row>
    <row r="224" spans="1:67">
      <c r="A224" t="s">
        <v>63</v>
      </c>
      <c r="B224" s="77">
        <v>41679</v>
      </c>
      <c r="C224" t="s">
        <v>73</v>
      </c>
      <c r="D224" t="s">
        <v>84</v>
      </c>
      <c r="E224">
        <v>1</v>
      </c>
      <c r="F224">
        <v>0</v>
      </c>
      <c r="G224" t="s">
        <v>70</v>
      </c>
      <c r="H224">
        <v>0</v>
      </c>
      <c r="I224">
        <v>0</v>
      </c>
      <c r="J224" t="s">
        <v>67</v>
      </c>
      <c r="K224">
        <v>16</v>
      </c>
      <c r="L224">
        <v>3</v>
      </c>
      <c r="M224">
        <v>7</v>
      </c>
      <c r="N224">
        <v>1</v>
      </c>
      <c r="O224">
        <v>13</v>
      </c>
      <c r="P224">
        <v>14</v>
      </c>
      <c r="Q224">
        <v>10</v>
      </c>
      <c r="R224">
        <v>3</v>
      </c>
      <c r="S224">
        <v>1</v>
      </c>
      <c r="T224">
        <v>1</v>
      </c>
      <c r="U224">
        <v>0</v>
      </c>
      <c r="V224">
        <v>0</v>
      </c>
      <c r="W224">
        <v>1.33</v>
      </c>
      <c r="X224">
        <v>4.75</v>
      </c>
      <c r="Y224">
        <v>10</v>
      </c>
      <c r="Z224">
        <v>1.35</v>
      </c>
      <c r="AA224">
        <v>4.75</v>
      </c>
      <c r="AB224">
        <v>8.75</v>
      </c>
      <c r="AC224">
        <v>1.35</v>
      </c>
      <c r="AD224">
        <v>4.8</v>
      </c>
      <c r="AE224">
        <v>7.6</v>
      </c>
      <c r="AF224">
        <v>1.36</v>
      </c>
      <c r="AG224">
        <v>5</v>
      </c>
      <c r="AH224">
        <v>7.5</v>
      </c>
      <c r="AI224">
        <v>1.4</v>
      </c>
      <c r="AJ224">
        <v>4.6900000000000004</v>
      </c>
      <c r="AK224">
        <v>11</v>
      </c>
      <c r="AL224">
        <v>1.4</v>
      </c>
      <c r="AM224">
        <v>4</v>
      </c>
      <c r="AN224">
        <v>10</v>
      </c>
      <c r="AO224">
        <v>1.36</v>
      </c>
      <c r="AP224">
        <v>4.5</v>
      </c>
      <c r="AQ224">
        <v>8</v>
      </c>
      <c r="AR224">
        <v>1.4</v>
      </c>
      <c r="AS224">
        <v>4.8</v>
      </c>
      <c r="AT224">
        <v>9.5</v>
      </c>
      <c r="AU224">
        <v>44</v>
      </c>
      <c r="AV224">
        <v>1.41</v>
      </c>
      <c r="AW224">
        <v>1.37</v>
      </c>
      <c r="AX224">
        <v>5</v>
      </c>
      <c r="AY224">
        <v>4.6500000000000004</v>
      </c>
      <c r="AZ224">
        <v>11</v>
      </c>
      <c r="BA224">
        <v>9.0299999999999994</v>
      </c>
      <c r="BB224">
        <v>41</v>
      </c>
      <c r="BC224">
        <v>1.74</v>
      </c>
      <c r="BD224">
        <v>1.67</v>
      </c>
      <c r="BE224">
        <v>2.34</v>
      </c>
      <c r="BF224">
        <v>2.1800000000000002</v>
      </c>
      <c r="BG224">
        <v>24</v>
      </c>
      <c r="BH224">
        <v>-1.5</v>
      </c>
      <c r="BI224">
        <v>2.16</v>
      </c>
      <c r="BJ224">
        <v>2.08</v>
      </c>
      <c r="BK224">
        <v>1.85</v>
      </c>
      <c r="BL224">
        <v>1.78</v>
      </c>
      <c r="BM224">
        <v>1.34</v>
      </c>
      <c r="BN224">
        <v>5.39</v>
      </c>
      <c r="BO224">
        <v>11.26</v>
      </c>
    </row>
    <row r="225" spans="1:67">
      <c r="A225" t="s">
        <v>63</v>
      </c>
      <c r="B225" s="77">
        <v>41679</v>
      </c>
      <c r="C225" t="s">
        <v>75</v>
      </c>
      <c r="D225" t="s">
        <v>78</v>
      </c>
      <c r="E225">
        <v>0</v>
      </c>
      <c r="F225">
        <v>0</v>
      </c>
      <c r="G225" t="s">
        <v>67</v>
      </c>
      <c r="H225">
        <v>0</v>
      </c>
      <c r="I225">
        <v>0</v>
      </c>
      <c r="J225" t="s">
        <v>67</v>
      </c>
      <c r="K225">
        <v>3</v>
      </c>
      <c r="L225">
        <v>14</v>
      </c>
      <c r="M225">
        <v>0</v>
      </c>
      <c r="N225">
        <v>4</v>
      </c>
      <c r="O225">
        <v>20</v>
      </c>
      <c r="P225">
        <v>10</v>
      </c>
      <c r="Q225">
        <v>6</v>
      </c>
      <c r="R225">
        <v>6</v>
      </c>
      <c r="S225">
        <v>3</v>
      </c>
      <c r="T225">
        <v>2</v>
      </c>
      <c r="U225">
        <v>0</v>
      </c>
      <c r="V225">
        <v>0</v>
      </c>
      <c r="W225">
        <v>3.75</v>
      </c>
      <c r="X225">
        <v>3.4</v>
      </c>
      <c r="Y225">
        <v>2</v>
      </c>
      <c r="Z225">
        <v>3.9</v>
      </c>
      <c r="AA225">
        <v>3.4</v>
      </c>
      <c r="AB225">
        <v>1.95</v>
      </c>
      <c r="AC225">
        <v>3.6</v>
      </c>
      <c r="AD225">
        <v>3.3</v>
      </c>
      <c r="AE225">
        <v>2</v>
      </c>
      <c r="AF225">
        <v>3.5</v>
      </c>
      <c r="AG225">
        <v>3.4</v>
      </c>
      <c r="AH225">
        <v>2.0499999999999998</v>
      </c>
      <c r="AI225">
        <v>4.18</v>
      </c>
      <c r="AJ225">
        <v>3.5</v>
      </c>
      <c r="AK225">
        <v>2.02</v>
      </c>
      <c r="AL225">
        <v>4</v>
      </c>
      <c r="AM225">
        <v>3.2</v>
      </c>
      <c r="AN225">
        <v>2</v>
      </c>
      <c r="AO225">
        <v>3.75</v>
      </c>
      <c r="AP225">
        <v>3.3</v>
      </c>
      <c r="AQ225">
        <v>1.95</v>
      </c>
      <c r="AR225">
        <v>4</v>
      </c>
      <c r="AS225">
        <v>3.4</v>
      </c>
      <c r="AT225">
        <v>2.0499999999999998</v>
      </c>
      <c r="AU225">
        <v>35</v>
      </c>
      <c r="AV225">
        <v>4.1399999999999997</v>
      </c>
      <c r="AW225">
        <v>3.83</v>
      </c>
      <c r="AX225">
        <v>3.6</v>
      </c>
      <c r="AY225">
        <v>3.36</v>
      </c>
      <c r="AZ225">
        <v>2.1</v>
      </c>
      <c r="BA225">
        <v>2</v>
      </c>
      <c r="BB225">
        <v>34</v>
      </c>
      <c r="BC225">
        <v>2.14</v>
      </c>
      <c r="BD225">
        <v>2</v>
      </c>
      <c r="BE225">
        <v>1.9</v>
      </c>
      <c r="BF225">
        <v>1.78</v>
      </c>
      <c r="BG225">
        <v>17</v>
      </c>
      <c r="BH225">
        <v>0.5</v>
      </c>
      <c r="BI225">
        <v>1.91</v>
      </c>
      <c r="BJ225">
        <v>1.86</v>
      </c>
      <c r="BK225">
        <v>2.08</v>
      </c>
      <c r="BL225">
        <v>2.0099999999999998</v>
      </c>
      <c r="BM225">
        <v>4.68</v>
      </c>
      <c r="BN225">
        <v>3.31</v>
      </c>
      <c r="BO225">
        <v>1.98</v>
      </c>
    </row>
    <row r="226" spans="1:67">
      <c r="A226" t="s">
        <v>63</v>
      </c>
      <c r="B226" s="77">
        <v>41679</v>
      </c>
      <c r="C226" t="s">
        <v>77</v>
      </c>
      <c r="D226" t="s">
        <v>74</v>
      </c>
      <c r="E226">
        <v>0</v>
      </c>
      <c r="F226">
        <v>1</v>
      </c>
      <c r="G226" t="s">
        <v>66</v>
      </c>
      <c r="H226">
        <v>0</v>
      </c>
      <c r="I226">
        <v>1</v>
      </c>
      <c r="J226" t="s">
        <v>66</v>
      </c>
      <c r="K226">
        <v>19</v>
      </c>
      <c r="L226">
        <v>6</v>
      </c>
      <c r="M226">
        <v>5</v>
      </c>
      <c r="N226">
        <v>2</v>
      </c>
      <c r="O226">
        <v>20</v>
      </c>
      <c r="P226">
        <v>20</v>
      </c>
      <c r="Q226">
        <v>10</v>
      </c>
      <c r="R226">
        <v>1</v>
      </c>
      <c r="S226">
        <v>4</v>
      </c>
      <c r="T226">
        <v>3</v>
      </c>
      <c r="U226">
        <v>0</v>
      </c>
      <c r="V226">
        <v>0</v>
      </c>
      <c r="W226">
        <v>2.4</v>
      </c>
      <c r="X226">
        <v>3.2</v>
      </c>
      <c r="Y226">
        <v>3</v>
      </c>
      <c r="Z226">
        <v>2.4</v>
      </c>
      <c r="AA226">
        <v>3.2</v>
      </c>
      <c r="AB226">
        <v>3</v>
      </c>
      <c r="AC226">
        <v>2.5</v>
      </c>
      <c r="AD226">
        <v>3.1</v>
      </c>
      <c r="AE226">
        <v>2.8</v>
      </c>
      <c r="AF226">
        <v>2.5</v>
      </c>
      <c r="AG226">
        <v>3.25</v>
      </c>
      <c r="AH226">
        <v>2.8</v>
      </c>
      <c r="AI226">
        <v>2.42</v>
      </c>
      <c r="AJ226">
        <v>3.24</v>
      </c>
      <c r="AK226">
        <v>3.36</v>
      </c>
      <c r="AL226">
        <v>2.4</v>
      </c>
      <c r="AM226">
        <v>3.1</v>
      </c>
      <c r="AN226">
        <v>3.1</v>
      </c>
      <c r="AO226">
        <v>2.38</v>
      </c>
      <c r="AP226">
        <v>3.13</v>
      </c>
      <c r="AQ226">
        <v>3</v>
      </c>
      <c r="AR226">
        <v>2.4500000000000002</v>
      </c>
      <c r="AS226">
        <v>3.2</v>
      </c>
      <c r="AT226">
        <v>3.3</v>
      </c>
      <c r="AU226">
        <v>43</v>
      </c>
      <c r="AV226">
        <v>2.5</v>
      </c>
      <c r="AW226">
        <v>2.4</v>
      </c>
      <c r="AX226">
        <v>3.3</v>
      </c>
      <c r="AY226">
        <v>3.17</v>
      </c>
      <c r="AZ226">
        <v>3.36</v>
      </c>
      <c r="BA226">
        <v>3.06</v>
      </c>
      <c r="BB226">
        <v>41</v>
      </c>
      <c r="BC226">
        <v>2.2999999999999998</v>
      </c>
      <c r="BD226">
        <v>2.16</v>
      </c>
      <c r="BE226">
        <v>1.75</v>
      </c>
      <c r="BF226">
        <v>1.68</v>
      </c>
      <c r="BG226">
        <v>23</v>
      </c>
      <c r="BH226">
        <v>0</v>
      </c>
      <c r="BI226">
        <v>1.75</v>
      </c>
      <c r="BJ226">
        <v>1.69</v>
      </c>
      <c r="BK226">
        <v>2.35</v>
      </c>
      <c r="BL226">
        <v>2.21</v>
      </c>
      <c r="BM226">
        <v>2.39</v>
      </c>
      <c r="BN226">
        <v>3.28</v>
      </c>
      <c r="BO226">
        <v>3.37</v>
      </c>
    </row>
    <row r="227" spans="1:67">
      <c r="A227" t="s">
        <v>63</v>
      </c>
      <c r="B227" s="77">
        <v>41679</v>
      </c>
      <c r="C227" t="s">
        <v>81</v>
      </c>
      <c r="D227" t="s">
        <v>86</v>
      </c>
      <c r="E227">
        <v>0</v>
      </c>
      <c r="F227">
        <v>0</v>
      </c>
      <c r="G227" t="s">
        <v>67</v>
      </c>
      <c r="H227">
        <v>0</v>
      </c>
      <c r="I227">
        <v>0</v>
      </c>
      <c r="J227" t="s">
        <v>67</v>
      </c>
      <c r="K227">
        <v>5</v>
      </c>
      <c r="L227">
        <v>19</v>
      </c>
      <c r="M227">
        <v>1</v>
      </c>
      <c r="N227">
        <v>2</v>
      </c>
      <c r="O227">
        <v>21</v>
      </c>
      <c r="P227">
        <v>12</v>
      </c>
      <c r="Q227">
        <v>6</v>
      </c>
      <c r="R227">
        <v>6</v>
      </c>
      <c r="S227">
        <v>2</v>
      </c>
      <c r="T227">
        <v>3</v>
      </c>
      <c r="U227">
        <v>0</v>
      </c>
      <c r="V227">
        <v>0</v>
      </c>
      <c r="W227">
        <v>1.57</v>
      </c>
      <c r="X227">
        <v>3.6</v>
      </c>
      <c r="Y227">
        <v>6.5</v>
      </c>
      <c r="Z227">
        <v>1.55</v>
      </c>
      <c r="AA227">
        <v>3.9</v>
      </c>
      <c r="AB227">
        <v>6</v>
      </c>
      <c r="AC227">
        <v>1.5</v>
      </c>
      <c r="AD227">
        <v>4</v>
      </c>
      <c r="AE227">
        <v>6.1</v>
      </c>
      <c r="AF227">
        <v>1.6</v>
      </c>
      <c r="AG227">
        <v>3.75</v>
      </c>
      <c r="AH227">
        <v>6</v>
      </c>
      <c r="AI227">
        <v>1.57</v>
      </c>
      <c r="AJ227">
        <v>4.1399999999999997</v>
      </c>
      <c r="AK227">
        <v>6.99</v>
      </c>
      <c r="AL227">
        <v>1.57</v>
      </c>
      <c r="AM227">
        <v>3.4</v>
      </c>
      <c r="AN227">
        <v>7.5</v>
      </c>
      <c r="AO227">
        <v>1.53</v>
      </c>
      <c r="AP227">
        <v>3.75</v>
      </c>
      <c r="AQ227">
        <v>6.25</v>
      </c>
      <c r="AR227">
        <v>1.57</v>
      </c>
      <c r="AS227">
        <v>4</v>
      </c>
      <c r="AT227">
        <v>6.5</v>
      </c>
      <c r="AU227">
        <v>44</v>
      </c>
      <c r="AV227">
        <v>1.61</v>
      </c>
      <c r="AW227">
        <v>1.55</v>
      </c>
      <c r="AX227">
        <v>4.17</v>
      </c>
      <c r="AY227">
        <v>3.85</v>
      </c>
      <c r="AZ227">
        <v>7.58</v>
      </c>
      <c r="BA227">
        <v>6.47</v>
      </c>
      <c r="BB227">
        <v>43</v>
      </c>
      <c r="BC227">
        <v>1.97</v>
      </c>
      <c r="BD227">
        <v>1.87</v>
      </c>
      <c r="BE227">
        <v>2.0099999999999998</v>
      </c>
      <c r="BF227">
        <v>1.91</v>
      </c>
      <c r="BG227">
        <v>26</v>
      </c>
      <c r="BH227">
        <v>-1</v>
      </c>
      <c r="BI227">
        <v>2.02</v>
      </c>
      <c r="BJ227">
        <v>1.95</v>
      </c>
      <c r="BK227">
        <v>1.98</v>
      </c>
      <c r="BL227">
        <v>1.91</v>
      </c>
      <c r="BM227">
        <v>1.5</v>
      </c>
      <c r="BN227">
        <v>4.4000000000000004</v>
      </c>
      <c r="BO227">
        <v>7.91</v>
      </c>
    </row>
    <row r="228" spans="1:67">
      <c r="A228" t="s">
        <v>63</v>
      </c>
      <c r="B228" s="77">
        <v>41679</v>
      </c>
      <c r="C228" t="s">
        <v>64</v>
      </c>
      <c r="D228" t="s">
        <v>71</v>
      </c>
      <c r="E228">
        <v>1</v>
      </c>
      <c r="F228">
        <v>0</v>
      </c>
      <c r="G228" t="s">
        <v>70</v>
      </c>
      <c r="H228">
        <v>1</v>
      </c>
      <c r="I228">
        <v>0</v>
      </c>
      <c r="J228" t="s">
        <v>70</v>
      </c>
      <c r="K228">
        <v>10</v>
      </c>
      <c r="L228">
        <v>14</v>
      </c>
      <c r="M228">
        <v>3</v>
      </c>
      <c r="N228">
        <v>3</v>
      </c>
      <c r="O228">
        <v>26</v>
      </c>
      <c r="P228">
        <v>24</v>
      </c>
      <c r="Q228">
        <v>5</v>
      </c>
      <c r="R228">
        <v>4</v>
      </c>
      <c r="S228">
        <v>4</v>
      </c>
      <c r="T228">
        <v>5</v>
      </c>
      <c r="U228">
        <v>0</v>
      </c>
      <c r="V228">
        <v>0</v>
      </c>
      <c r="W228">
        <v>2.1</v>
      </c>
      <c r="X228">
        <v>3.25</v>
      </c>
      <c r="Y228">
        <v>3.5</v>
      </c>
      <c r="Z228">
        <v>2.1</v>
      </c>
      <c r="AA228">
        <v>3.1</v>
      </c>
      <c r="AB228">
        <v>3.7</v>
      </c>
      <c r="AC228">
        <v>2</v>
      </c>
      <c r="AD228">
        <v>3.3</v>
      </c>
      <c r="AE228">
        <v>3.6</v>
      </c>
      <c r="AF228">
        <v>2.1</v>
      </c>
      <c r="AG228">
        <v>3.2</v>
      </c>
      <c r="AH228">
        <v>3.6</v>
      </c>
      <c r="AI228">
        <v>2.23</v>
      </c>
      <c r="AJ228">
        <v>3.25</v>
      </c>
      <c r="AK228">
        <v>3.81</v>
      </c>
      <c r="AL228">
        <v>2.2000000000000002</v>
      </c>
      <c r="AM228">
        <v>3</v>
      </c>
      <c r="AN228">
        <v>3.6</v>
      </c>
      <c r="AO228">
        <v>2.1</v>
      </c>
      <c r="AP228">
        <v>3.2</v>
      </c>
      <c r="AQ228">
        <v>3.4</v>
      </c>
      <c r="AR228">
        <v>2.2000000000000002</v>
      </c>
      <c r="AS228">
        <v>3.3</v>
      </c>
      <c r="AT228">
        <v>3.7</v>
      </c>
      <c r="AU228">
        <v>44</v>
      </c>
      <c r="AV228">
        <v>2.2599999999999998</v>
      </c>
      <c r="AW228">
        <v>2.15</v>
      </c>
      <c r="AX228">
        <v>3.4</v>
      </c>
      <c r="AY228">
        <v>3.2</v>
      </c>
      <c r="AZ228">
        <v>3.9</v>
      </c>
      <c r="BA228">
        <v>3.52</v>
      </c>
      <c r="BB228">
        <v>41</v>
      </c>
      <c r="BC228">
        <v>2.4500000000000002</v>
      </c>
      <c r="BD228">
        <v>2.2999999999999998</v>
      </c>
      <c r="BE228">
        <v>1.69</v>
      </c>
      <c r="BF228">
        <v>1.6</v>
      </c>
      <c r="BG228">
        <v>22</v>
      </c>
      <c r="BH228">
        <v>-0.5</v>
      </c>
      <c r="BI228">
        <v>2.23</v>
      </c>
      <c r="BJ228">
        <v>2.15</v>
      </c>
      <c r="BK228">
        <v>1.78</v>
      </c>
      <c r="BL228">
        <v>1.73</v>
      </c>
      <c r="BM228">
        <v>2.06</v>
      </c>
      <c r="BN228">
        <v>3.3</v>
      </c>
      <c r="BO228">
        <v>4.32</v>
      </c>
    </row>
    <row r="229" spans="1:67">
      <c r="A229" t="s">
        <v>63</v>
      </c>
      <c r="B229" s="77">
        <v>41679</v>
      </c>
      <c r="C229" t="s">
        <v>83</v>
      </c>
      <c r="D229" t="s">
        <v>80</v>
      </c>
      <c r="E229">
        <v>1</v>
      </c>
      <c r="F229">
        <v>2</v>
      </c>
      <c r="G229" t="s">
        <v>66</v>
      </c>
      <c r="H229">
        <v>1</v>
      </c>
      <c r="I229">
        <v>2</v>
      </c>
      <c r="J229" t="s">
        <v>66</v>
      </c>
      <c r="K229">
        <v>19</v>
      </c>
      <c r="L229">
        <v>11</v>
      </c>
      <c r="M229">
        <v>5</v>
      </c>
      <c r="N229">
        <v>6</v>
      </c>
      <c r="O229">
        <v>18</v>
      </c>
      <c r="P229">
        <v>16</v>
      </c>
      <c r="Q229">
        <v>13</v>
      </c>
      <c r="R229">
        <v>1</v>
      </c>
      <c r="S229">
        <v>0</v>
      </c>
      <c r="T229">
        <v>0</v>
      </c>
      <c r="U229">
        <v>0</v>
      </c>
      <c r="V229">
        <v>0</v>
      </c>
      <c r="W229">
        <v>1.57</v>
      </c>
      <c r="X229">
        <v>3.75</v>
      </c>
      <c r="Y229">
        <v>6</v>
      </c>
      <c r="Z229">
        <v>1.57</v>
      </c>
      <c r="AA229">
        <v>3.8</v>
      </c>
      <c r="AB229">
        <v>6</v>
      </c>
      <c r="AC229">
        <v>1.6</v>
      </c>
      <c r="AD229">
        <v>3.7</v>
      </c>
      <c r="AE229">
        <v>5.4</v>
      </c>
      <c r="AF229">
        <v>1.61</v>
      </c>
      <c r="AG229">
        <v>3.6</v>
      </c>
      <c r="AH229">
        <v>6</v>
      </c>
      <c r="AI229">
        <v>1.62</v>
      </c>
      <c r="AJ229">
        <v>3.95</v>
      </c>
      <c r="AK229">
        <v>6.73</v>
      </c>
      <c r="AL229">
        <v>1.67</v>
      </c>
      <c r="AM229">
        <v>3.25</v>
      </c>
      <c r="AN229">
        <v>6.5</v>
      </c>
      <c r="AO229">
        <v>1.62</v>
      </c>
      <c r="AP229">
        <v>3.5</v>
      </c>
      <c r="AQ229">
        <v>5.5</v>
      </c>
      <c r="AR229">
        <v>1.67</v>
      </c>
      <c r="AS229">
        <v>3.75</v>
      </c>
      <c r="AT229">
        <v>6.25</v>
      </c>
      <c r="AU229">
        <v>42</v>
      </c>
      <c r="AV229">
        <v>1.7</v>
      </c>
      <c r="AW229">
        <v>1.63</v>
      </c>
      <c r="AX229">
        <v>3.93</v>
      </c>
      <c r="AY229">
        <v>3.65</v>
      </c>
      <c r="AZ229">
        <v>6.62</v>
      </c>
      <c r="BA229">
        <v>5.82</v>
      </c>
      <c r="BB229">
        <v>40</v>
      </c>
      <c r="BC229">
        <v>2.15</v>
      </c>
      <c r="BD229">
        <v>2.04</v>
      </c>
      <c r="BE229">
        <v>1.85</v>
      </c>
      <c r="BF229">
        <v>1.75</v>
      </c>
      <c r="BG229">
        <v>20</v>
      </c>
      <c r="BH229">
        <v>-0.75</v>
      </c>
      <c r="BI229">
        <v>1.85</v>
      </c>
      <c r="BJ229">
        <v>1.8</v>
      </c>
      <c r="BK229">
        <v>2.14</v>
      </c>
      <c r="BL229">
        <v>2.0699999999999998</v>
      </c>
      <c r="BM229">
        <v>1.63</v>
      </c>
      <c r="BN229">
        <v>3.86</v>
      </c>
      <c r="BO229">
        <v>6.92</v>
      </c>
    </row>
    <row r="230" spans="1:67">
      <c r="A230" t="s">
        <v>63</v>
      </c>
      <c r="B230" s="77">
        <v>41679</v>
      </c>
      <c r="C230" t="s">
        <v>68</v>
      </c>
      <c r="D230" t="s">
        <v>65</v>
      </c>
      <c r="E230">
        <v>2</v>
      </c>
      <c r="F230">
        <v>2</v>
      </c>
      <c r="G230" t="s">
        <v>67</v>
      </c>
      <c r="H230">
        <v>0</v>
      </c>
      <c r="I230">
        <v>2</v>
      </c>
      <c r="J230" t="s">
        <v>66</v>
      </c>
      <c r="K230">
        <v>11</v>
      </c>
      <c r="L230">
        <v>14</v>
      </c>
      <c r="M230">
        <v>3</v>
      </c>
      <c r="N230">
        <v>4</v>
      </c>
      <c r="O230">
        <v>10</v>
      </c>
      <c r="P230">
        <v>19</v>
      </c>
      <c r="Q230">
        <v>3</v>
      </c>
      <c r="R230">
        <v>9</v>
      </c>
      <c r="S230">
        <v>2</v>
      </c>
      <c r="T230">
        <v>0</v>
      </c>
      <c r="U230">
        <v>0</v>
      </c>
      <c r="V230">
        <v>0</v>
      </c>
      <c r="W230">
        <v>8</v>
      </c>
      <c r="X230">
        <v>4.5</v>
      </c>
      <c r="Y230">
        <v>1.4</v>
      </c>
      <c r="Z230">
        <v>7.5</v>
      </c>
      <c r="AA230">
        <v>4.5</v>
      </c>
      <c r="AB230">
        <v>1.4</v>
      </c>
      <c r="AC230">
        <v>7.3</v>
      </c>
      <c r="AD230">
        <v>4.4000000000000004</v>
      </c>
      <c r="AE230">
        <v>1.4</v>
      </c>
      <c r="AF230">
        <v>8</v>
      </c>
      <c r="AG230">
        <v>4.5</v>
      </c>
      <c r="AH230">
        <v>1.4</v>
      </c>
      <c r="AI230">
        <v>10.33</v>
      </c>
      <c r="AJ230">
        <v>4.72</v>
      </c>
      <c r="AK230">
        <v>1.4</v>
      </c>
      <c r="AL230">
        <v>10</v>
      </c>
      <c r="AM230">
        <v>4</v>
      </c>
      <c r="AN230">
        <v>1.4</v>
      </c>
      <c r="AO230">
        <v>8.5</v>
      </c>
      <c r="AP230">
        <v>4.33</v>
      </c>
      <c r="AQ230">
        <v>1.36</v>
      </c>
      <c r="AR230">
        <v>9</v>
      </c>
      <c r="AS230">
        <v>4.75</v>
      </c>
      <c r="AT230">
        <v>1.4</v>
      </c>
      <c r="AU230">
        <v>44</v>
      </c>
      <c r="AV230">
        <v>10.33</v>
      </c>
      <c r="AW230">
        <v>8.68</v>
      </c>
      <c r="AX230">
        <v>5</v>
      </c>
      <c r="AY230">
        <v>4.5</v>
      </c>
      <c r="AZ230">
        <v>1.44</v>
      </c>
      <c r="BA230">
        <v>1.39</v>
      </c>
      <c r="BB230">
        <v>42</v>
      </c>
      <c r="BC230">
        <v>1.78</v>
      </c>
      <c r="BD230">
        <v>1.66</v>
      </c>
      <c r="BE230">
        <v>2.33</v>
      </c>
      <c r="BF230">
        <v>2.2000000000000002</v>
      </c>
      <c r="BG230">
        <v>22</v>
      </c>
      <c r="BH230">
        <v>1</v>
      </c>
      <c r="BI230">
        <v>2.5</v>
      </c>
      <c r="BJ230">
        <v>2.41</v>
      </c>
      <c r="BK230">
        <v>1.65</v>
      </c>
      <c r="BL230">
        <v>1.59</v>
      </c>
      <c r="BM230">
        <v>9.73</v>
      </c>
      <c r="BN230">
        <v>5.14</v>
      </c>
      <c r="BO230">
        <v>1.38</v>
      </c>
    </row>
    <row r="231" spans="1:67">
      <c r="A231" t="s">
        <v>63</v>
      </c>
      <c r="B231" s="77">
        <v>41684</v>
      </c>
      <c r="C231" t="s">
        <v>69</v>
      </c>
      <c r="D231" t="s">
        <v>80</v>
      </c>
      <c r="E231">
        <v>1</v>
      </c>
      <c r="F231">
        <v>0</v>
      </c>
      <c r="G231" t="s">
        <v>70</v>
      </c>
      <c r="H231">
        <v>0</v>
      </c>
      <c r="I231">
        <v>0</v>
      </c>
      <c r="J231" t="s">
        <v>67</v>
      </c>
      <c r="K231">
        <v>13</v>
      </c>
      <c r="L231">
        <v>11</v>
      </c>
      <c r="M231">
        <v>4</v>
      </c>
      <c r="N231">
        <v>4</v>
      </c>
      <c r="O231">
        <v>17</v>
      </c>
      <c r="P231">
        <v>22</v>
      </c>
      <c r="Q231">
        <v>8</v>
      </c>
      <c r="R231">
        <v>2</v>
      </c>
      <c r="S231">
        <v>1</v>
      </c>
      <c r="T231">
        <v>3</v>
      </c>
      <c r="U231">
        <v>0</v>
      </c>
      <c r="V231">
        <v>0</v>
      </c>
      <c r="W231">
        <v>1.33</v>
      </c>
      <c r="X231">
        <v>5</v>
      </c>
      <c r="Y231">
        <v>9</v>
      </c>
      <c r="Z231">
        <v>1.33</v>
      </c>
      <c r="AA231">
        <v>5</v>
      </c>
      <c r="AB231">
        <v>9</v>
      </c>
      <c r="AC231">
        <v>1.4</v>
      </c>
      <c r="AD231">
        <v>4.4000000000000004</v>
      </c>
      <c r="AE231">
        <v>7.3</v>
      </c>
      <c r="AF231">
        <v>1.4</v>
      </c>
      <c r="AG231">
        <v>4.5</v>
      </c>
      <c r="AH231">
        <v>8</v>
      </c>
      <c r="AI231">
        <v>1.37</v>
      </c>
      <c r="AJ231">
        <v>5.14</v>
      </c>
      <c r="AK231">
        <v>10.23</v>
      </c>
      <c r="AL231">
        <v>1.36</v>
      </c>
      <c r="AM231">
        <v>4.5</v>
      </c>
      <c r="AN231">
        <v>9</v>
      </c>
      <c r="AO231">
        <v>1.33</v>
      </c>
      <c r="AP231">
        <v>4.8</v>
      </c>
      <c r="AQ231">
        <v>8</v>
      </c>
      <c r="AR231">
        <v>1.36</v>
      </c>
      <c r="AS231">
        <v>5</v>
      </c>
      <c r="AT231">
        <v>10</v>
      </c>
      <c r="AU231">
        <v>45</v>
      </c>
      <c r="AV231">
        <v>1.4</v>
      </c>
      <c r="AW231">
        <v>1.37</v>
      </c>
      <c r="AX231">
        <v>5.2</v>
      </c>
      <c r="AY231">
        <v>4.8099999999999996</v>
      </c>
      <c r="AZ231">
        <v>11</v>
      </c>
      <c r="BA231">
        <v>8.8800000000000008</v>
      </c>
      <c r="BB231">
        <v>40</v>
      </c>
      <c r="BC231">
        <v>1.82</v>
      </c>
      <c r="BD231">
        <v>1.73</v>
      </c>
      <c r="BE231">
        <v>2.25</v>
      </c>
      <c r="BF231">
        <v>2.08</v>
      </c>
      <c r="BG231">
        <v>23</v>
      </c>
      <c r="BH231">
        <v>-1.5</v>
      </c>
      <c r="BI231">
        <v>2.19</v>
      </c>
      <c r="BJ231">
        <v>2.11</v>
      </c>
      <c r="BK231">
        <v>1.86</v>
      </c>
      <c r="BL231">
        <v>1.77</v>
      </c>
      <c r="BM231">
        <v>1.34</v>
      </c>
      <c r="BN231">
        <v>5.37</v>
      </c>
      <c r="BO231">
        <v>11.37</v>
      </c>
    </row>
    <row r="232" spans="1:67">
      <c r="A232" t="s">
        <v>63</v>
      </c>
      <c r="B232" s="77">
        <v>41685</v>
      </c>
      <c r="C232" t="s">
        <v>85</v>
      </c>
      <c r="D232" t="s">
        <v>73</v>
      </c>
      <c r="E232">
        <v>1</v>
      </c>
      <c r="F232">
        <v>2</v>
      </c>
      <c r="G232" t="s">
        <v>66</v>
      </c>
      <c r="H232">
        <v>0</v>
      </c>
      <c r="I232">
        <v>1</v>
      </c>
      <c r="J232" t="s">
        <v>66</v>
      </c>
      <c r="K232">
        <v>15</v>
      </c>
      <c r="L232">
        <v>9</v>
      </c>
      <c r="M232">
        <v>5</v>
      </c>
      <c r="N232">
        <v>4</v>
      </c>
      <c r="O232">
        <v>11</v>
      </c>
      <c r="P232">
        <v>16</v>
      </c>
      <c r="Q232">
        <v>9</v>
      </c>
      <c r="R232">
        <v>6</v>
      </c>
      <c r="S232">
        <v>1</v>
      </c>
      <c r="T232">
        <v>6</v>
      </c>
      <c r="U232">
        <v>0</v>
      </c>
      <c r="V232">
        <v>0</v>
      </c>
      <c r="W232">
        <v>2.1</v>
      </c>
      <c r="X232">
        <v>3.4</v>
      </c>
      <c r="Y232">
        <v>3.4</v>
      </c>
      <c r="Z232">
        <v>2</v>
      </c>
      <c r="AA232">
        <v>3.4</v>
      </c>
      <c r="AB232">
        <v>3.7</v>
      </c>
      <c r="AC232">
        <v>2</v>
      </c>
      <c r="AD232">
        <v>3.3</v>
      </c>
      <c r="AE232">
        <v>3.6</v>
      </c>
      <c r="AF232">
        <v>2.15</v>
      </c>
      <c r="AG232">
        <v>3.4</v>
      </c>
      <c r="AH232">
        <v>3.3</v>
      </c>
      <c r="AI232">
        <v>2.15</v>
      </c>
      <c r="AJ232">
        <v>3.44</v>
      </c>
      <c r="AK232">
        <v>3.78</v>
      </c>
      <c r="AL232">
        <v>2.15</v>
      </c>
      <c r="AM232">
        <v>3.2</v>
      </c>
      <c r="AN232">
        <v>3.6</v>
      </c>
      <c r="AO232">
        <v>2.0499999999999998</v>
      </c>
      <c r="AP232">
        <v>3.2</v>
      </c>
      <c r="AQ232">
        <v>3.5</v>
      </c>
      <c r="AR232">
        <v>2.15</v>
      </c>
      <c r="AS232">
        <v>3.4</v>
      </c>
      <c r="AT232">
        <v>3.7</v>
      </c>
      <c r="AU232">
        <v>45</v>
      </c>
      <c r="AV232">
        <v>2.1800000000000002</v>
      </c>
      <c r="AW232">
        <v>2.1</v>
      </c>
      <c r="AX232">
        <v>3.54</v>
      </c>
      <c r="AY232">
        <v>3.31</v>
      </c>
      <c r="AZ232">
        <v>4</v>
      </c>
      <c r="BA232">
        <v>3.58</v>
      </c>
      <c r="BB232">
        <v>42</v>
      </c>
      <c r="BC232">
        <v>1.95</v>
      </c>
      <c r="BD232">
        <v>1.87</v>
      </c>
      <c r="BE232">
        <v>2.04</v>
      </c>
      <c r="BF232">
        <v>1.91</v>
      </c>
      <c r="BG232">
        <v>22</v>
      </c>
      <c r="BH232">
        <v>-0.5</v>
      </c>
      <c r="BI232">
        <v>2.16</v>
      </c>
      <c r="BJ232">
        <v>2.1</v>
      </c>
      <c r="BK232">
        <v>1.85</v>
      </c>
      <c r="BL232">
        <v>1.77</v>
      </c>
      <c r="BM232">
        <v>2.15</v>
      </c>
      <c r="BN232">
        <v>3.35</v>
      </c>
      <c r="BO232">
        <v>3.89</v>
      </c>
    </row>
    <row r="233" spans="1:67">
      <c r="A233" t="s">
        <v>63</v>
      </c>
      <c r="B233" s="77">
        <v>41686</v>
      </c>
      <c r="C233" t="s">
        <v>72</v>
      </c>
      <c r="D233" t="s">
        <v>81</v>
      </c>
      <c r="E233">
        <v>0</v>
      </c>
      <c r="F233">
        <v>4</v>
      </c>
      <c r="G233" t="s">
        <v>66</v>
      </c>
      <c r="H233">
        <v>0</v>
      </c>
      <c r="I233">
        <v>1</v>
      </c>
      <c r="J233" t="s">
        <v>66</v>
      </c>
      <c r="K233">
        <v>14</v>
      </c>
      <c r="L233">
        <v>17</v>
      </c>
      <c r="M233">
        <v>5</v>
      </c>
      <c r="N233">
        <v>7</v>
      </c>
      <c r="O233">
        <v>11</v>
      </c>
      <c r="P233">
        <v>12</v>
      </c>
      <c r="Q233">
        <v>8</v>
      </c>
      <c r="R233">
        <v>4</v>
      </c>
      <c r="S233">
        <v>2</v>
      </c>
      <c r="T233">
        <v>4</v>
      </c>
      <c r="U233">
        <v>0</v>
      </c>
      <c r="V233">
        <v>0</v>
      </c>
      <c r="W233">
        <v>2.5</v>
      </c>
      <c r="X233">
        <v>3.25</v>
      </c>
      <c r="Y233">
        <v>2.8</v>
      </c>
      <c r="Z233">
        <v>2.5499999999999998</v>
      </c>
      <c r="AA233">
        <v>3.1</v>
      </c>
      <c r="AB233">
        <v>2.85</v>
      </c>
      <c r="AC233">
        <v>2.4</v>
      </c>
      <c r="AD233">
        <v>3.2</v>
      </c>
      <c r="AE233">
        <v>2.85</v>
      </c>
      <c r="AF233">
        <v>2.4</v>
      </c>
      <c r="AG233">
        <v>3.2</v>
      </c>
      <c r="AH233">
        <v>3</v>
      </c>
      <c r="AI233">
        <v>2.71</v>
      </c>
      <c r="AJ233">
        <v>3.18</v>
      </c>
      <c r="AK233">
        <v>2.97</v>
      </c>
      <c r="AL233">
        <v>2.62</v>
      </c>
      <c r="AM233">
        <v>2.9</v>
      </c>
      <c r="AN233">
        <v>3</v>
      </c>
      <c r="AO233">
        <v>2.5</v>
      </c>
      <c r="AP233">
        <v>3.13</v>
      </c>
      <c r="AQ233">
        <v>2.75</v>
      </c>
      <c r="AR233">
        <v>2.7</v>
      </c>
      <c r="AS233">
        <v>3.25</v>
      </c>
      <c r="AT233">
        <v>2.9</v>
      </c>
      <c r="AU233">
        <v>45</v>
      </c>
      <c r="AV233">
        <v>2.76</v>
      </c>
      <c r="AW233">
        <v>2.56</v>
      </c>
      <c r="AX233">
        <v>3.32</v>
      </c>
      <c r="AY233">
        <v>3.12</v>
      </c>
      <c r="AZ233">
        <v>3.2</v>
      </c>
      <c r="BA233">
        <v>2.88</v>
      </c>
      <c r="BB233">
        <v>38</v>
      </c>
      <c r="BC233">
        <v>2.34</v>
      </c>
      <c r="BD233">
        <v>2.21</v>
      </c>
      <c r="BE233">
        <v>1.75</v>
      </c>
      <c r="BF233">
        <v>1.64</v>
      </c>
      <c r="BG233">
        <v>25</v>
      </c>
      <c r="BH233">
        <v>0</v>
      </c>
      <c r="BI233">
        <v>1.88</v>
      </c>
      <c r="BJ233">
        <v>1.82</v>
      </c>
      <c r="BK233">
        <v>2.14</v>
      </c>
      <c r="BL233">
        <v>2.02</v>
      </c>
      <c r="BM233">
        <v>2.94</v>
      </c>
      <c r="BN233">
        <v>3.23</v>
      </c>
      <c r="BO233">
        <v>2.7</v>
      </c>
    </row>
    <row r="234" spans="1:67">
      <c r="A234" t="s">
        <v>63</v>
      </c>
      <c r="B234" s="77">
        <v>41686</v>
      </c>
      <c r="C234" t="s">
        <v>71</v>
      </c>
      <c r="D234" t="s">
        <v>77</v>
      </c>
      <c r="E234">
        <v>1</v>
      </c>
      <c r="F234">
        <v>2</v>
      </c>
      <c r="G234" t="s">
        <v>66</v>
      </c>
      <c r="H234">
        <v>0</v>
      </c>
      <c r="I234">
        <v>1</v>
      </c>
      <c r="J234" t="s">
        <v>66</v>
      </c>
      <c r="K234">
        <v>12</v>
      </c>
      <c r="L234">
        <v>15</v>
      </c>
      <c r="M234">
        <v>5</v>
      </c>
      <c r="N234">
        <v>3</v>
      </c>
      <c r="O234">
        <v>19</v>
      </c>
      <c r="P234">
        <v>23</v>
      </c>
      <c r="Q234">
        <v>1</v>
      </c>
      <c r="R234">
        <v>5</v>
      </c>
      <c r="S234">
        <v>2</v>
      </c>
      <c r="T234">
        <v>4</v>
      </c>
      <c r="U234">
        <v>1</v>
      </c>
      <c r="V234">
        <v>2</v>
      </c>
      <c r="W234">
        <v>1.75</v>
      </c>
      <c r="X234">
        <v>3.4</v>
      </c>
      <c r="Y234">
        <v>5</v>
      </c>
      <c r="Z234">
        <v>1.72</v>
      </c>
      <c r="AA234">
        <v>3.5</v>
      </c>
      <c r="AB234">
        <v>5</v>
      </c>
      <c r="AC234">
        <v>1.75</v>
      </c>
      <c r="AD234">
        <v>3.5</v>
      </c>
      <c r="AE234">
        <v>4.5</v>
      </c>
      <c r="AF234">
        <v>1.75</v>
      </c>
      <c r="AG234">
        <v>3.4</v>
      </c>
      <c r="AH234">
        <v>5</v>
      </c>
      <c r="AI234">
        <v>1.79</v>
      </c>
      <c r="AJ234">
        <v>3.58</v>
      </c>
      <c r="AK234">
        <v>5.45</v>
      </c>
      <c r="AL234">
        <v>1.8</v>
      </c>
      <c r="AM234">
        <v>3.3</v>
      </c>
      <c r="AN234">
        <v>5</v>
      </c>
      <c r="AO234">
        <v>1.73</v>
      </c>
      <c r="AP234">
        <v>3.5</v>
      </c>
      <c r="AQ234">
        <v>4.8</v>
      </c>
      <c r="AR234">
        <v>1.8</v>
      </c>
      <c r="AS234">
        <v>3.6</v>
      </c>
      <c r="AT234">
        <v>5.25</v>
      </c>
      <c r="AU234">
        <v>45</v>
      </c>
      <c r="AV234">
        <v>1.83</v>
      </c>
      <c r="AW234">
        <v>1.76</v>
      </c>
      <c r="AX234">
        <v>3.72</v>
      </c>
      <c r="AY234">
        <v>3.49</v>
      </c>
      <c r="AZ234">
        <v>5.7</v>
      </c>
      <c r="BA234">
        <v>4.91</v>
      </c>
      <c r="BB234">
        <v>41</v>
      </c>
      <c r="BC234">
        <v>2.25</v>
      </c>
      <c r="BD234">
        <v>2.13</v>
      </c>
      <c r="BE234">
        <v>1.75</v>
      </c>
      <c r="BF234">
        <v>1.69</v>
      </c>
      <c r="BG234">
        <v>22</v>
      </c>
      <c r="BH234">
        <v>-0.75</v>
      </c>
      <c r="BI234">
        <v>2.0499999999999998</v>
      </c>
      <c r="BJ234">
        <v>2</v>
      </c>
      <c r="BK234">
        <v>1.92</v>
      </c>
      <c r="BL234">
        <v>1.87</v>
      </c>
      <c r="BM234">
        <v>1.86</v>
      </c>
      <c r="BN234">
        <v>3.57</v>
      </c>
      <c r="BO234">
        <v>4.96</v>
      </c>
    </row>
    <row r="235" spans="1:67">
      <c r="A235" t="s">
        <v>63</v>
      </c>
      <c r="B235" s="77">
        <v>41686</v>
      </c>
      <c r="C235" t="s">
        <v>86</v>
      </c>
      <c r="D235" t="s">
        <v>75</v>
      </c>
      <c r="E235">
        <v>3</v>
      </c>
      <c r="F235">
        <v>1</v>
      </c>
      <c r="G235" t="s">
        <v>70</v>
      </c>
      <c r="H235">
        <v>1</v>
      </c>
      <c r="I235">
        <v>1</v>
      </c>
      <c r="J235" t="s">
        <v>67</v>
      </c>
      <c r="K235">
        <v>16</v>
      </c>
      <c r="L235">
        <v>10</v>
      </c>
      <c r="M235">
        <v>8</v>
      </c>
      <c r="N235">
        <v>3</v>
      </c>
      <c r="O235">
        <v>18</v>
      </c>
      <c r="P235">
        <v>23</v>
      </c>
      <c r="Q235">
        <v>1</v>
      </c>
      <c r="R235">
        <v>1</v>
      </c>
      <c r="S235">
        <v>2</v>
      </c>
      <c r="T235">
        <v>4</v>
      </c>
      <c r="U235">
        <v>0</v>
      </c>
      <c r="V235">
        <v>0</v>
      </c>
      <c r="W235">
        <v>3.3</v>
      </c>
      <c r="X235">
        <v>3.2</v>
      </c>
      <c r="Y235">
        <v>2.25</v>
      </c>
      <c r="Z235">
        <v>3.2</v>
      </c>
      <c r="AA235">
        <v>3.2</v>
      </c>
      <c r="AB235">
        <v>2.25</v>
      </c>
      <c r="AC235">
        <v>3.2</v>
      </c>
      <c r="AD235">
        <v>3.2</v>
      </c>
      <c r="AE235">
        <v>2.2000000000000002</v>
      </c>
      <c r="AF235">
        <v>3.4</v>
      </c>
      <c r="AG235">
        <v>3.25</v>
      </c>
      <c r="AH235">
        <v>2.2000000000000002</v>
      </c>
      <c r="AI235">
        <v>3.5</v>
      </c>
      <c r="AJ235">
        <v>3.21</v>
      </c>
      <c r="AK235">
        <v>2.37</v>
      </c>
      <c r="AL235">
        <v>3.4</v>
      </c>
      <c r="AM235">
        <v>3</v>
      </c>
      <c r="AN235">
        <v>2.2999999999999998</v>
      </c>
      <c r="AO235">
        <v>3.2</v>
      </c>
      <c r="AP235">
        <v>3.2</v>
      </c>
      <c r="AQ235">
        <v>2.2000000000000002</v>
      </c>
      <c r="AR235">
        <v>3.5</v>
      </c>
      <c r="AS235">
        <v>3.25</v>
      </c>
      <c r="AT235">
        <v>2.2999999999999998</v>
      </c>
      <c r="AU235">
        <v>45</v>
      </c>
      <c r="AV235">
        <v>3.6</v>
      </c>
      <c r="AW235">
        <v>3.31</v>
      </c>
      <c r="AX235">
        <v>3.36</v>
      </c>
      <c r="AY235">
        <v>3.18</v>
      </c>
      <c r="AZ235">
        <v>2.37</v>
      </c>
      <c r="BA235">
        <v>2.2599999999999998</v>
      </c>
      <c r="BB235">
        <v>41</v>
      </c>
      <c r="BC235">
        <v>2.4500000000000002</v>
      </c>
      <c r="BD235">
        <v>2.27</v>
      </c>
      <c r="BE235">
        <v>1.75</v>
      </c>
      <c r="BF235">
        <v>1.61</v>
      </c>
      <c r="BG235">
        <v>22</v>
      </c>
      <c r="BH235">
        <v>0.25</v>
      </c>
      <c r="BI235">
        <v>1.96</v>
      </c>
      <c r="BJ235">
        <v>1.92</v>
      </c>
      <c r="BK235">
        <v>2.0099999999999998</v>
      </c>
      <c r="BL235">
        <v>1.95</v>
      </c>
      <c r="BM235">
        <v>3.52</v>
      </c>
      <c r="BN235">
        <v>3.32</v>
      </c>
      <c r="BO235">
        <v>2.29</v>
      </c>
    </row>
    <row r="236" spans="1:67">
      <c r="A236" t="s">
        <v>63</v>
      </c>
      <c r="B236" s="77">
        <v>41686</v>
      </c>
      <c r="C236" t="s">
        <v>74</v>
      </c>
      <c r="D236" t="s">
        <v>76</v>
      </c>
      <c r="E236">
        <v>3</v>
      </c>
      <c r="F236">
        <v>3</v>
      </c>
      <c r="G236" t="s">
        <v>67</v>
      </c>
      <c r="H236">
        <v>1</v>
      </c>
      <c r="I236">
        <v>2</v>
      </c>
      <c r="J236" t="s">
        <v>66</v>
      </c>
      <c r="K236">
        <v>23</v>
      </c>
      <c r="L236">
        <v>10</v>
      </c>
      <c r="M236">
        <v>6</v>
      </c>
      <c r="N236">
        <v>7</v>
      </c>
      <c r="O236">
        <v>12</v>
      </c>
      <c r="P236">
        <v>16</v>
      </c>
      <c r="Q236">
        <v>8</v>
      </c>
      <c r="R236">
        <v>8</v>
      </c>
      <c r="S236">
        <v>3</v>
      </c>
      <c r="T236">
        <v>5</v>
      </c>
      <c r="U236">
        <v>0</v>
      </c>
      <c r="V236">
        <v>0</v>
      </c>
      <c r="W236">
        <v>2.75</v>
      </c>
      <c r="X236">
        <v>3.1</v>
      </c>
      <c r="Y236">
        <v>2.63</v>
      </c>
      <c r="Z236">
        <v>2.7</v>
      </c>
      <c r="AA236">
        <v>3.1</v>
      </c>
      <c r="AB236">
        <v>2.7</v>
      </c>
      <c r="AC236">
        <v>2.6</v>
      </c>
      <c r="AD236">
        <v>3.2</v>
      </c>
      <c r="AE236">
        <v>2.6</v>
      </c>
      <c r="AF236">
        <v>2.75</v>
      </c>
      <c r="AG236">
        <v>3.2</v>
      </c>
      <c r="AH236">
        <v>2.6</v>
      </c>
      <c r="AI236">
        <v>3</v>
      </c>
      <c r="AJ236">
        <v>3.14</v>
      </c>
      <c r="AK236">
        <v>2.71</v>
      </c>
      <c r="AL236">
        <v>2.8</v>
      </c>
      <c r="AM236">
        <v>3</v>
      </c>
      <c r="AN236">
        <v>2.7</v>
      </c>
      <c r="AO236">
        <v>2.75</v>
      </c>
      <c r="AP236">
        <v>3.13</v>
      </c>
      <c r="AQ236">
        <v>2.6</v>
      </c>
      <c r="AR236">
        <v>2.9</v>
      </c>
      <c r="AS236">
        <v>3.2</v>
      </c>
      <c r="AT236">
        <v>2.7</v>
      </c>
      <c r="AU236">
        <v>45</v>
      </c>
      <c r="AV236">
        <v>3</v>
      </c>
      <c r="AW236">
        <v>2.79</v>
      </c>
      <c r="AX236">
        <v>3.3</v>
      </c>
      <c r="AY236">
        <v>3.09</v>
      </c>
      <c r="AZ236">
        <v>2.84</v>
      </c>
      <c r="BA236">
        <v>2.65</v>
      </c>
      <c r="BB236">
        <v>38</v>
      </c>
      <c r="BC236">
        <v>2.38</v>
      </c>
      <c r="BD236">
        <v>2.27</v>
      </c>
      <c r="BE236">
        <v>1.7</v>
      </c>
      <c r="BF236">
        <v>1.61</v>
      </c>
      <c r="BG236">
        <v>24</v>
      </c>
      <c r="BH236">
        <v>0</v>
      </c>
      <c r="BI236">
        <v>2.0699999999999998</v>
      </c>
      <c r="BJ236">
        <v>1.98</v>
      </c>
      <c r="BK236">
        <v>1.92</v>
      </c>
      <c r="BL236">
        <v>1.86</v>
      </c>
      <c r="BM236">
        <v>3.19</v>
      </c>
      <c r="BN236">
        <v>3.17</v>
      </c>
      <c r="BO236">
        <v>2.56</v>
      </c>
    </row>
    <row r="237" spans="1:67">
      <c r="A237" t="s">
        <v>63</v>
      </c>
      <c r="B237" s="77">
        <v>41686</v>
      </c>
      <c r="C237" t="s">
        <v>65</v>
      </c>
      <c r="D237" t="s">
        <v>82</v>
      </c>
      <c r="E237">
        <v>3</v>
      </c>
      <c r="F237">
        <v>1</v>
      </c>
      <c r="G237" t="s">
        <v>70</v>
      </c>
      <c r="H237">
        <v>2</v>
      </c>
      <c r="I237">
        <v>0</v>
      </c>
      <c r="J237" t="s">
        <v>70</v>
      </c>
      <c r="K237">
        <v>14</v>
      </c>
      <c r="L237">
        <v>9</v>
      </c>
      <c r="M237">
        <v>5</v>
      </c>
      <c r="N237">
        <v>2</v>
      </c>
      <c r="O237">
        <v>14</v>
      </c>
      <c r="P237">
        <v>16</v>
      </c>
      <c r="Q237">
        <v>7</v>
      </c>
      <c r="R237">
        <v>2</v>
      </c>
      <c r="S237">
        <v>3</v>
      </c>
      <c r="T237">
        <v>2</v>
      </c>
      <c r="U237">
        <v>0</v>
      </c>
      <c r="V237">
        <v>0</v>
      </c>
      <c r="W237">
        <v>1.1399999999999999</v>
      </c>
      <c r="X237">
        <v>7.5</v>
      </c>
      <c r="Y237">
        <v>17</v>
      </c>
      <c r="Z237">
        <v>1.1200000000000001</v>
      </c>
      <c r="AA237">
        <v>8</v>
      </c>
      <c r="AB237">
        <v>19.5</v>
      </c>
      <c r="AC237">
        <v>1.17</v>
      </c>
      <c r="AD237">
        <v>6.5</v>
      </c>
      <c r="AE237">
        <v>14</v>
      </c>
      <c r="AF237">
        <v>1.1399999999999999</v>
      </c>
      <c r="AG237">
        <v>7.5</v>
      </c>
      <c r="AH237">
        <v>19</v>
      </c>
      <c r="AI237">
        <v>1.1599999999999999</v>
      </c>
      <c r="AJ237">
        <v>8.3000000000000007</v>
      </c>
      <c r="AK237">
        <v>26.7</v>
      </c>
      <c r="AL237">
        <v>1.17</v>
      </c>
      <c r="AM237">
        <v>7</v>
      </c>
      <c r="AN237">
        <v>17</v>
      </c>
      <c r="AO237">
        <v>1.1299999999999999</v>
      </c>
      <c r="AP237">
        <v>7.5</v>
      </c>
      <c r="AQ237">
        <v>17</v>
      </c>
      <c r="AR237">
        <v>1.17</v>
      </c>
      <c r="AS237">
        <v>8</v>
      </c>
      <c r="AT237">
        <v>22</v>
      </c>
      <c r="AU237">
        <v>45</v>
      </c>
      <c r="AV237">
        <v>1.17</v>
      </c>
      <c r="AW237">
        <v>1.1499999999999999</v>
      </c>
      <c r="AX237">
        <v>10</v>
      </c>
      <c r="AY237">
        <v>7.71</v>
      </c>
      <c r="AZ237">
        <v>26.7</v>
      </c>
      <c r="BA237">
        <v>17.96</v>
      </c>
      <c r="BB237">
        <v>33</v>
      </c>
      <c r="BC237">
        <v>1.63</v>
      </c>
      <c r="BD237">
        <v>1.57</v>
      </c>
      <c r="BE237">
        <v>2.54</v>
      </c>
      <c r="BF237">
        <v>2.33</v>
      </c>
      <c r="BG237">
        <v>24</v>
      </c>
      <c r="BH237">
        <v>-2</v>
      </c>
      <c r="BI237">
        <v>1.86</v>
      </c>
      <c r="BJ237">
        <v>1.82</v>
      </c>
      <c r="BK237">
        <v>2.15</v>
      </c>
      <c r="BL237">
        <v>2.04</v>
      </c>
      <c r="BM237">
        <v>1.17</v>
      </c>
      <c r="BN237">
        <v>8</v>
      </c>
      <c r="BO237">
        <v>25</v>
      </c>
    </row>
    <row r="238" spans="1:67">
      <c r="A238" t="s">
        <v>63</v>
      </c>
      <c r="B238" s="77">
        <v>41686</v>
      </c>
      <c r="C238" t="s">
        <v>78</v>
      </c>
      <c r="D238" t="s">
        <v>64</v>
      </c>
      <c r="E238">
        <v>3</v>
      </c>
      <c r="F238">
        <v>0</v>
      </c>
      <c r="G238" t="s">
        <v>70</v>
      </c>
      <c r="H238">
        <v>1</v>
      </c>
      <c r="I238">
        <v>0</v>
      </c>
      <c r="J238" t="s">
        <v>70</v>
      </c>
      <c r="K238">
        <v>16</v>
      </c>
      <c r="L238">
        <v>9</v>
      </c>
      <c r="M238">
        <v>6</v>
      </c>
      <c r="N238">
        <v>2</v>
      </c>
      <c r="O238">
        <v>10</v>
      </c>
      <c r="P238">
        <v>15</v>
      </c>
      <c r="Q238">
        <v>6</v>
      </c>
      <c r="R238">
        <v>2</v>
      </c>
      <c r="S238">
        <v>2</v>
      </c>
      <c r="T238">
        <v>1</v>
      </c>
      <c r="U238">
        <v>0</v>
      </c>
      <c r="V238">
        <v>1</v>
      </c>
      <c r="W238">
        <v>1.33</v>
      </c>
      <c r="X238">
        <v>5</v>
      </c>
      <c r="Y238">
        <v>9</v>
      </c>
      <c r="Z238">
        <v>1.35</v>
      </c>
      <c r="AA238">
        <v>5</v>
      </c>
      <c r="AB238">
        <v>8.25</v>
      </c>
      <c r="AC238">
        <v>1.3</v>
      </c>
      <c r="AD238">
        <v>5</v>
      </c>
      <c r="AE238">
        <v>9</v>
      </c>
      <c r="AF238">
        <v>1.33</v>
      </c>
      <c r="AG238">
        <v>5</v>
      </c>
      <c r="AH238">
        <v>9</v>
      </c>
      <c r="AI238">
        <v>1.35</v>
      </c>
      <c r="AJ238">
        <v>5.22</v>
      </c>
      <c r="AK238">
        <v>11.61</v>
      </c>
      <c r="AL238">
        <v>1.36</v>
      </c>
      <c r="AM238">
        <v>4.5</v>
      </c>
      <c r="AN238">
        <v>9.5</v>
      </c>
      <c r="AO238">
        <v>1.33</v>
      </c>
      <c r="AP238">
        <v>4.8</v>
      </c>
      <c r="AQ238">
        <v>8</v>
      </c>
      <c r="AR238">
        <v>1.36</v>
      </c>
      <c r="AS238">
        <v>5</v>
      </c>
      <c r="AT238">
        <v>10.5</v>
      </c>
      <c r="AU238">
        <v>45</v>
      </c>
      <c r="AV238">
        <v>1.38</v>
      </c>
      <c r="AW238">
        <v>1.34</v>
      </c>
      <c r="AX238">
        <v>5.55</v>
      </c>
      <c r="AY238">
        <v>4.8899999999999997</v>
      </c>
      <c r="AZ238">
        <v>11.61</v>
      </c>
      <c r="BA238">
        <v>9.19</v>
      </c>
      <c r="BB238">
        <v>41</v>
      </c>
      <c r="BC238">
        <v>1.78</v>
      </c>
      <c r="BD238">
        <v>1.7</v>
      </c>
      <c r="BE238">
        <v>2.2999999999999998</v>
      </c>
      <c r="BF238">
        <v>2.12</v>
      </c>
      <c r="BG238">
        <v>26</v>
      </c>
      <c r="BH238">
        <v>-1.5</v>
      </c>
      <c r="BI238">
        <v>2.08</v>
      </c>
      <c r="BJ238">
        <v>2.0299999999999998</v>
      </c>
      <c r="BK238">
        <v>1.9</v>
      </c>
      <c r="BL238">
        <v>1.84</v>
      </c>
      <c r="BM238">
        <v>1.37</v>
      </c>
      <c r="BN238">
        <v>5.09</v>
      </c>
      <c r="BO238">
        <v>9.9600000000000009</v>
      </c>
    </row>
    <row r="239" spans="1:67">
      <c r="A239" t="s">
        <v>63</v>
      </c>
      <c r="B239" s="77">
        <v>41686</v>
      </c>
      <c r="C239" t="s">
        <v>84</v>
      </c>
      <c r="D239" t="s">
        <v>79</v>
      </c>
      <c r="E239">
        <v>0</v>
      </c>
      <c r="F239">
        <v>2</v>
      </c>
      <c r="G239" t="s">
        <v>66</v>
      </c>
      <c r="H239">
        <v>0</v>
      </c>
      <c r="I239">
        <v>1</v>
      </c>
      <c r="J239" t="s">
        <v>66</v>
      </c>
      <c r="K239">
        <v>8</v>
      </c>
      <c r="L239">
        <v>20</v>
      </c>
      <c r="M239">
        <v>2</v>
      </c>
      <c r="N239">
        <v>7</v>
      </c>
      <c r="O239">
        <v>9</v>
      </c>
      <c r="P239">
        <v>15</v>
      </c>
      <c r="Q239">
        <v>3</v>
      </c>
      <c r="R239">
        <v>4</v>
      </c>
      <c r="S239">
        <v>4</v>
      </c>
      <c r="T239">
        <v>3</v>
      </c>
      <c r="U239">
        <v>0</v>
      </c>
      <c r="V239">
        <v>0</v>
      </c>
      <c r="W239">
        <v>6</v>
      </c>
      <c r="X239">
        <v>3.8</v>
      </c>
      <c r="Y239">
        <v>1.57</v>
      </c>
      <c r="Z239">
        <v>6</v>
      </c>
      <c r="AA239">
        <v>3.9</v>
      </c>
      <c r="AB239">
        <v>1.55</v>
      </c>
      <c r="AC239">
        <v>6.1</v>
      </c>
      <c r="AD239">
        <v>4</v>
      </c>
      <c r="AE239">
        <v>1.5</v>
      </c>
      <c r="AF239">
        <v>5.5</v>
      </c>
      <c r="AG239">
        <v>4</v>
      </c>
      <c r="AH239">
        <v>1.6</v>
      </c>
      <c r="AI239">
        <v>6.43</v>
      </c>
      <c r="AJ239">
        <v>3.97</v>
      </c>
      <c r="AK239">
        <v>1.63</v>
      </c>
      <c r="AL239">
        <v>6</v>
      </c>
      <c r="AM239">
        <v>3.6</v>
      </c>
      <c r="AN239">
        <v>1.62</v>
      </c>
      <c r="AO239">
        <v>5.5</v>
      </c>
      <c r="AP239">
        <v>3.8</v>
      </c>
      <c r="AQ239">
        <v>1.57</v>
      </c>
      <c r="AR239">
        <v>6</v>
      </c>
      <c r="AS239">
        <v>4</v>
      </c>
      <c r="AT239">
        <v>1.57</v>
      </c>
      <c r="AU239">
        <v>45</v>
      </c>
      <c r="AV239">
        <v>6.8</v>
      </c>
      <c r="AW239">
        <v>5.87</v>
      </c>
      <c r="AX239">
        <v>4.0999999999999996</v>
      </c>
      <c r="AY239">
        <v>3.88</v>
      </c>
      <c r="AZ239">
        <v>1.7</v>
      </c>
      <c r="BA239">
        <v>1.59</v>
      </c>
      <c r="BB239">
        <v>39</v>
      </c>
      <c r="BC239">
        <v>1.78</v>
      </c>
      <c r="BD239">
        <v>1.69</v>
      </c>
      <c r="BE239">
        <v>2.34</v>
      </c>
      <c r="BF239">
        <v>2.12</v>
      </c>
      <c r="BG239">
        <v>26</v>
      </c>
      <c r="BH239">
        <v>1</v>
      </c>
      <c r="BI239">
        <v>1.91</v>
      </c>
      <c r="BJ239">
        <v>1.84</v>
      </c>
      <c r="BK239">
        <v>2.14</v>
      </c>
      <c r="BL239">
        <v>2.0299999999999998</v>
      </c>
      <c r="BM239">
        <v>6.01</v>
      </c>
      <c r="BN239">
        <v>4.37</v>
      </c>
      <c r="BO239">
        <v>1.6</v>
      </c>
    </row>
    <row r="240" spans="1:67">
      <c r="A240" t="s">
        <v>63</v>
      </c>
      <c r="B240" s="77">
        <v>41687</v>
      </c>
      <c r="C240" t="s">
        <v>68</v>
      </c>
      <c r="D240" t="s">
        <v>83</v>
      </c>
      <c r="E240">
        <v>1</v>
      </c>
      <c r="F240">
        <v>3</v>
      </c>
      <c r="G240" t="s">
        <v>66</v>
      </c>
      <c r="H240">
        <v>1</v>
      </c>
      <c r="I240">
        <v>0</v>
      </c>
      <c r="J240" t="s">
        <v>70</v>
      </c>
      <c r="K240">
        <v>16</v>
      </c>
      <c r="L240">
        <v>15</v>
      </c>
      <c r="M240">
        <v>4</v>
      </c>
      <c r="N240">
        <v>5</v>
      </c>
      <c r="O240">
        <v>10</v>
      </c>
      <c r="P240">
        <v>17</v>
      </c>
      <c r="Q240">
        <v>6</v>
      </c>
      <c r="R240">
        <v>6</v>
      </c>
      <c r="S240">
        <v>1</v>
      </c>
      <c r="T240">
        <v>3</v>
      </c>
      <c r="U240">
        <v>0</v>
      </c>
      <c r="V240">
        <v>0</v>
      </c>
      <c r="W240">
        <v>2.2999999999999998</v>
      </c>
      <c r="X240">
        <v>3.3</v>
      </c>
      <c r="Y240">
        <v>3.1</v>
      </c>
      <c r="Z240">
        <v>2.5</v>
      </c>
      <c r="AA240">
        <v>3.2</v>
      </c>
      <c r="AB240">
        <v>2.85</v>
      </c>
      <c r="AC240">
        <v>2.4</v>
      </c>
      <c r="AD240">
        <v>3.2</v>
      </c>
      <c r="AE240">
        <v>2.85</v>
      </c>
      <c r="AF240">
        <v>2.4</v>
      </c>
      <c r="AG240">
        <v>3.3</v>
      </c>
      <c r="AH240">
        <v>2.9</v>
      </c>
      <c r="AI240">
        <v>2.5</v>
      </c>
      <c r="AJ240">
        <v>3.31</v>
      </c>
      <c r="AK240">
        <v>3.15</v>
      </c>
      <c r="AL240">
        <v>2.5</v>
      </c>
      <c r="AM240">
        <v>3.1</v>
      </c>
      <c r="AN240">
        <v>3</v>
      </c>
      <c r="AO240">
        <v>2.4</v>
      </c>
      <c r="AP240">
        <v>3.13</v>
      </c>
      <c r="AQ240">
        <v>2.88</v>
      </c>
      <c r="AR240">
        <v>2.5</v>
      </c>
      <c r="AS240">
        <v>3.3</v>
      </c>
      <c r="AT240">
        <v>3</v>
      </c>
      <c r="AU240">
        <v>42</v>
      </c>
      <c r="AV240">
        <v>2.6</v>
      </c>
      <c r="AW240">
        <v>2.42</v>
      </c>
      <c r="AX240">
        <v>3.4</v>
      </c>
      <c r="AY240">
        <v>3.19</v>
      </c>
      <c r="AZ240">
        <v>3.11</v>
      </c>
      <c r="BA240">
        <v>3</v>
      </c>
      <c r="BB240">
        <v>39</v>
      </c>
      <c r="BC240">
        <v>2.04</v>
      </c>
      <c r="BD240">
        <v>1.93</v>
      </c>
      <c r="BE240">
        <v>1.96</v>
      </c>
      <c r="BF240">
        <v>1.84</v>
      </c>
      <c r="BG240">
        <v>20</v>
      </c>
      <c r="BH240">
        <v>0</v>
      </c>
      <c r="BI240">
        <v>1.8</v>
      </c>
      <c r="BJ240">
        <v>1.75</v>
      </c>
      <c r="BK240">
        <v>2.19</v>
      </c>
      <c r="BL240">
        <v>2.12</v>
      </c>
      <c r="BM240">
        <v>2.7</v>
      </c>
      <c r="BN240">
        <v>3.24</v>
      </c>
      <c r="BO240">
        <v>2.93</v>
      </c>
    </row>
    <row r="241" spans="1:67">
      <c r="A241" t="s">
        <v>63</v>
      </c>
      <c r="B241" s="77">
        <v>41692</v>
      </c>
      <c r="C241" t="s">
        <v>80</v>
      </c>
      <c r="D241" t="s">
        <v>78</v>
      </c>
      <c r="E241">
        <v>0</v>
      </c>
      <c r="F241">
        <v>1</v>
      </c>
      <c r="G241" t="s">
        <v>66</v>
      </c>
      <c r="H241">
        <v>0</v>
      </c>
      <c r="I241">
        <v>1</v>
      </c>
      <c r="J241" t="s">
        <v>66</v>
      </c>
      <c r="K241">
        <v>12</v>
      </c>
      <c r="L241">
        <v>17</v>
      </c>
      <c r="M241">
        <v>1</v>
      </c>
      <c r="N241">
        <v>2</v>
      </c>
      <c r="O241">
        <v>10</v>
      </c>
      <c r="P241">
        <v>15</v>
      </c>
      <c r="Q241">
        <v>5</v>
      </c>
      <c r="R241">
        <v>1</v>
      </c>
      <c r="S241">
        <v>1</v>
      </c>
      <c r="T241">
        <v>3</v>
      </c>
      <c r="U241">
        <v>0</v>
      </c>
      <c r="V241">
        <v>0</v>
      </c>
      <c r="W241">
        <v>7</v>
      </c>
      <c r="X241">
        <v>4</v>
      </c>
      <c r="Y241">
        <v>1.5</v>
      </c>
      <c r="Z241">
        <v>7</v>
      </c>
      <c r="AA241">
        <v>3.9</v>
      </c>
      <c r="AB241">
        <v>1.5</v>
      </c>
      <c r="AC241">
        <v>5.4</v>
      </c>
      <c r="AD241">
        <v>3.7</v>
      </c>
      <c r="AE241">
        <v>1.6</v>
      </c>
      <c r="AF241">
        <v>6.5</v>
      </c>
      <c r="AG241">
        <v>4.2</v>
      </c>
      <c r="AH241">
        <v>1.5</v>
      </c>
      <c r="AI241">
        <v>8.42</v>
      </c>
      <c r="AJ241">
        <v>4.3499999999999996</v>
      </c>
      <c r="AK241">
        <v>1.49</v>
      </c>
      <c r="AL241">
        <v>6.5</v>
      </c>
      <c r="AM241">
        <v>4.2</v>
      </c>
      <c r="AN241">
        <v>1.5</v>
      </c>
      <c r="AO241">
        <v>7</v>
      </c>
      <c r="AP241">
        <v>3.8</v>
      </c>
      <c r="AQ241">
        <v>1.44</v>
      </c>
      <c r="AR241">
        <v>7.5</v>
      </c>
      <c r="AS241">
        <v>4.2</v>
      </c>
      <c r="AT241">
        <v>1.5</v>
      </c>
      <c r="AU241">
        <v>44</v>
      </c>
      <c r="AV241">
        <v>8.4</v>
      </c>
      <c r="AW241">
        <v>7.21</v>
      </c>
      <c r="AX241">
        <v>4.45</v>
      </c>
      <c r="AY241">
        <v>4.04</v>
      </c>
      <c r="AZ241">
        <v>1.6</v>
      </c>
      <c r="BA241">
        <v>1.49</v>
      </c>
      <c r="BB241">
        <v>42</v>
      </c>
      <c r="BC241">
        <v>1.92</v>
      </c>
      <c r="BD241">
        <v>1.82</v>
      </c>
      <c r="BE241">
        <v>2.08</v>
      </c>
      <c r="BF241">
        <v>1.96</v>
      </c>
      <c r="BG241">
        <v>24</v>
      </c>
      <c r="BH241">
        <v>1</v>
      </c>
      <c r="BI241">
        <v>2.12</v>
      </c>
      <c r="BJ241">
        <v>2.0299999999999998</v>
      </c>
      <c r="BK241">
        <v>1.89</v>
      </c>
      <c r="BL241">
        <v>1.83</v>
      </c>
      <c r="BM241">
        <v>6.89</v>
      </c>
      <c r="BN241">
        <v>4.2300000000000004</v>
      </c>
      <c r="BO241">
        <v>1.56</v>
      </c>
    </row>
    <row r="242" spans="1:67">
      <c r="A242" t="s">
        <v>63</v>
      </c>
      <c r="B242" s="77">
        <v>41693</v>
      </c>
      <c r="C242" t="s">
        <v>82</v>
      </c>
      <c r="D242" t="s">
        <v>86</v>
      </c>
      <c r="E242">
        <v>2</v>
      </c>
      <c r="F242">
        <v>0</v>
      </c>
      <c r="G242" t="s">
        <v>70</v>
      </c>
      <c r="H242">
        <v>1</v>
      </c>
      <c r="I242">
        <v>0</v>
      </c>
      <c r="J242" t="s">
        <v>70</v>
      </c>
      <c r="K242">
        <v>13</v>
      </c>
      <c r="L242">
        <v>12</v>
      </c>
      <c r="M242">
        <v>6</v>
      </c>
      <c r="N242">
        <v>5</v>
      </c>
      <c r="O242">
        <v>23</v>
      </c>
      <c r="P242">
        <v>18</v>
      </c>
      <c r="Q242">
        <v>4</v>
      </c>
      <c r="R242">
        <v>9</v>
      </c>
      <c r="S242">
        <v>4</v>
      </c>
      <c r="T242">
        <v>4</v>
      </c>
      <c r="U242">
        <v>1</v>
      </c>
      <c r="V242">
        <v>0</v>
      </c>
      <c r="W242">
        <v>2.15</v>
      </c>
      <c r="X242">
        <v>3.1</v>
      </c>
      <c r="Y242">
        <v>3.6</v>
      </c>
      <c r="Z242">
        <v>2.2000000000000002</v>
      </c>
      <c r="AA242">
        <v>3.1</v>
      </c>
      <c r="AB242">
        <v>3.5</v>
      </c>
      <c r="AC242">
        <v>2.1</v>
      </c>
      <c r="AD242">
        <v>3.2</v>
      </c>
      <c r="AE242">
        <v>3.4</v>
      </c>
      <c r="AF242">
        <v>2.1</v>
      </c>
      <c r="AG242">
        <v>3.2</v>
      </c>
      <c r="AH242">
        <v>3.6</v>
      </c>
      <c r="AI242">
        <v>2.2000000000000002</v>
      </c>
      <c r="AJ242">
        <v>3.17</v>
      </c>
      <c r="AK242">
        <v>4.0199999999999996</v>
      </c>
      <c r="AL242">
        <v>2.2000000000000002</v>
      </c>
      <c r="AM242">
        <v>3</v>
      </c>
      <c r="AN242">
        <v>3.6</v>
      </c>
      <c r="AO242">
        <v>2.1</v>
      </c>
      <c r="AP242">
        <v>3.2</v>
      </c>
      <c r="AQ242">
        <v>3.4</v>
      </c>
      <c r="AR242">
        <v>2.2000000000000002</v>
      </c>
      <c r="AS242">
        <v>3.25</v>
      </c>
      <c r="AT242">
        <v>3.75</v>
      </c>
      <c r="AU242">
        <v>44</v>
      </c>
      <c r="AV242">
        <v>2.2400000000000002</v>
      </c>
      <c r="AW242">
        <v>2.15</v>
      </c>
      <c r="AX242">
        <v>3.4</v>
      </c>
      <c r="AY242">
        <v>3.15</v>
      </c>
      <c r="AZ242">
        <v>4.0199999999999996</v>
      </c>
      <c r="BA242">
        <v>3.59</v>
      </c>
      <c r="BB242">
        <v>35</v>
      </c>
      <c r="BC242">
        <v>2.61</v>
      </c>
      <c r="BD242">
        <v>2.42</v>
      </c>
      <c r="BE242">
        <v>1.62</v>
      </c>
      <c r="BF242">
        <v>1.53</v>
      </c>
      <c r="BG242">
        <v>18</v>
      </c>
      <c r="BH242">
        <v>-0.25</v>
      </c>
      <c r="BI242">
        <v>1.9</v>
      </c>
      <c r="BJ242">
        <v>1.84</v>
      </c>
      <c r="BK242">
        <v>2.1</v>
      </c>
      <c r="BL242">
        <v>2.04</v>
      </c>
      <c r="BM242">
        <v>2.36</v>
      </c>
      <c r="BN242">
        <v>3.18</v>
      </c>
      <c r="BO242">
        <v>3.56</v>
      </c>
    </row>
    <row r="243" spans="1:67">
      <c r="A243" t="s">
        <v>63</v>
      </c>
      <c r="B243" s="77">
        <v>41693</v>
      </c>
      <c r="C243" t="s">
        <v>73</v>
      </c>
      <c r="D243" t="s">
        <v>71</v>
      </c>
      <c r="E243">
        <v>1</v>
      </c>
      <c r="F243">
        <v>1</v>
      </c>
      <c r="G243" t="s">
        <v>67</v>
      </c>
      <c r="H243">
        <v>0</v>
      </c>
      <c r="I243">
        <v>1</v>
      </c>
      <c r="J243" t="s">
        <v>66</v>
      </c>
      <c r="K243">
        <v>16</v>
      </c>
      <c r="L243">
        <v>6</v>
      </c>
      <c r="M243">
        <v>5</v>
      </c>
      <c r="N243">
        <v>1</v>
      </c>
      <c r="O243">
        <v>11</v>
      </c>
      <c r="P243">
        <v>15</v>
      </c>
      <c r="Q243">
        <v>5</v>
      </c>
      <c r="R243">
        <v>3</v>
      </c>
      <c r="S243">
        <v>1</v>
      </c>
      <c r="T243">
        <v>4</v>
      </c>
      <c r="U243">
        <v>0</v>
      </c>
      <c r="V243">
        <v>0</v>
      </c>
      <c r="W243">
        <v>1.44</v>
      </c>
      <c r="X243">
        <v>4.2</v>
      </c>
      <c r="Y243">
        <v>7.5</v>
      </c>
      <c r="Z243">
        <v>1.4</v>
      </c>
      <c r="AA243">
        <v>4.25</v>
      </c>
      <c r="AB243">
        <v>8.5</v>
      </c>
      <c r="AC243">
        <v>1.4</v>
      </c>
      <c r="AD243">
        <v>4.4000000000000004</v>
      </c>
      <c r="AE243">
        <v>7.3</v>
      </c>
      <c r="AF243">
        <v>1.44</v>
      </c>
      <c r="AG243">
        <v>4.33</v>
      </c>
      <c r="AH243">
        <v>7</v>
      </c>
      <c r="AI243">
        <v>1.45</v>
      </c>
      <c r="AJ243">
        <v>4.4800000000000004</v>
      </c>
      <c r="AK243">
        <v>9.36</v>
      </c>
      <c r="AL243">
        <v>1.44</v>
      </c>
      <c r="AM243">
        <v>4</v>
      </c>
      <c r="AN243">
        <v>8</v>
      </c>
      <c r="AO243">
        <v>1.4</v>
      </c>
      <c r="AP243">
        <v>4.33</v>
      </c>
      <c r="AQ243">
        <v>7.5</v>
      </c>
      <c r="AR243">
        <v>1.45</v>
      </c>
      <c r="AS243">
        <v>4.5</v>
      </c>
      <c r="AT243">
        <v>8</v>
      </c>
      <c r="AU243">
        <v>44</v>
      </c>
      <c r="AV243">
        <v>1.48</v>
      </c>
      <c r="AW243">
        <v>1.43</v>
      </c>
      <c r="AX243">
        <v>4.7</v>
      </c>
      <c r="AY243">
        <v>4.28</v>
      </c>
      <c r="AZ243">
        <v>9.36</v>
      </c>
      <c r="BA243">
        <v>7.86</v>
      </c>
      <c r="BB243">
        <v>40</v>
      </c>
      <c r="BC243">
        <v>1.95</v>
      </c>
      <c r="BD243">
        <v>1.85</v>
      </c>
      <c r="BE243">
        <v>2.02</v>
      </c>
      <c r="BF243">
        <v>1.92</v>
      </c>
      <c r="BG243">
        <v>19</v>
      </c>
      <c r="BH243">
        <v>-1</v>
      </c>
      <c r="BI243">
        <v>1.77</v>
      </c>
      <c r="BJ243">
        <v>1.73</v>
      </c>
      <c r="BK243">
        <v>2.2599999999999998</v>
      </c>
      <c r="BL243">
        <v>2.16</v>
      </c>
      <c r="BM243">
        <v>1.44</v>
      </c>
      <c r="BN243">
        <v>4.63</v>
      </c>
      <c r="BO243">
        <v>9.0399999999999991</v>
      </c>
    </row>
    <row r="244" spans="1:67">
      <c r="A244" t="s">
        <v>63</v>
      </c>
      <c r="B244" s="77">
        <v>41693</v>
      </c>
      <c r="C244" t="s">
        <v>65</v>
      </c>
      <c r="D244" t="s">
        <v>83</v>
      </c>
      <c r="E244">
        <v>1</v>
      </c>
      <c r="F244">
        <v>0</v>
      </c>
      <c r="G244" t="s">
        <v>70</v>
      </c>
      <c r="H244">
        <v>1</v>
      </c>
      <c r="I244">
        <v>0</v>
      </c>
      <c r="J244" t="s">
        <v>70</v>
      </c>
      <c r="K244">
        <v>15</v>
      </c>
      <c r="L244">
        <v>15</v>
      </c>
      <c r="M244">
        <v>6</v>
      </c>
      <c r="N244">
        <v>3</v>
      </c>
      <c r="O244">
        <v>12</v>
      </c>
      <c r="P244">
        <v>15</v>
      </c>
      <c r="Q244">
        <v>4</v>
      </c>
      <c r="R244">
        <v>2</v>
      </c>
      <c r="S244">
        <v>2</v>
      </c>
      <c r="T244">
        <v>2</v>
      </c>
      <c r="U244">
        <v>0</v>
      </c>
      <c r="V244">
        <v>0</v>
      </c>
      <c r="W244">
        <v>1.22</v>
      </c>
      <c r="X244">
        <v>6</v>
      </c>
      <c r="Y244">
        <v>12</v>
      </c>
      <c r="Z244">
        <v>1.25</v>
      </c>
      <c r="AA244">
        <v>5.5</v>
      </c>
      <c r="AB244">
        <v>11.5</v>
      </c>
      <c r="AC244">
        <v>1.25</v>
      </c>
      <c r="AD244">
        <v>5.5</v>
      </c>
      <c r="AE244">
        <v>10.3</v>
      </c>
      <c r="AF244">
        <v>1.25</v>
      </c>
      <c r="AG244">
        <v>5.5</v>
      </c>
      <c r="AH244">
        <v>12</v>
      </c>
      <c r="AI244">
        <v>1.27</v>
      </c>
      <c r="AJ244">
        <v>6.1</v>
      </c>
      <c r="AK244">
        <v>14.3</v>
      </c>
      <c r="AL244">
        <v>1.3</v>
      </c>
      <c r="AM244">
        <v>5</v>
      </c>
      <c r="AN244">
        <v>11</v>
      </c>
      <c r="AO244">
        <v>1.25</v>
      </c>
      <c r="AP244">
        <v>5.5</v>
      </c>
      <c r="AQ244">
        <v>9.5</v>
      </c>
      <c r="AR244">
        <v>1.29</v>
      </c>
      <c r="AS244">
        <v>6</v>
      </c>
      <c r="AT244">
        <v>12</v>
      </c>
      <c r="AU244">
        <v>44</v>
      </c>
      <c r="AV244">
        <v>1.3</v>
      </c>
      <c r="AW244">
        <v>1.26</v>
      </c>
      <c r="AX244">
        <v>6.4</v>
      </c>
      <c r="AY244">
        <v>5.62</v>
      </c>
      <c r="AZ244">
        <v>14.3</v>
      </c>
      <c r="BA244">
        <v>11.26</v>
      </c>
      <c r="BB244">
        <v>35</v>
      </c>
      <c r="BC244">
        <v>1.68</v>
      </c>
      <c r="BD244">
        <v>1.62</v>
      </c>
      <c r="BE244">
        <v>2.38</v>
      </c>
      <c r="BF244">
        <v>2.2200000000000002</v>
      </c>
      <c r="BG244">
        <v>22</v>
      </c>
      <c r="BH244">
        <v>-1.5</v>
      </c>
      <c r="BI244">
        <v>1.89</v>
      </c>
      <c r="BJ244">
        <v>1.84</v>
      </c>
      <c r="BK244">
        <v>2.1</v>
      </c>
      <c r="BL244">
        <v>2.02</v>
      </c>
      <c r="BM244">
        <v>1.31</v>
      </c>
      <c r="BN244">
        <v>5.79</v>
      </c>
      <c r="BO244">
        <v>12.1</v>
      </c>
    </row>
    <row r="245" spans="1:67">
      <c r="A245" t="s">
        <v>63</v>
      </c>
      <c r="B245" s="77">
        <v>41693</v>
      </c>
      <c r="C245" t="s">
        <v>75</v>
      </c>
      <c r="D245" t="s">
        <v>84</v>
      </c>
      <c r="E245">
        <v>3</v>
      </c>
      <c r="F245">
        <v>2</v>
      </c>
      <c r="G245" t="s">
        <v>70</v>
      </c>
      <c r="H245">
        <v>1</v>
      </c>
      <c r="I245">
        <v>0</v>
      </c>
      <c r="J245" t="s">
        <v>70</v>
      </c>
      <c r="K245">
        <v>11</v>
      </c>
      <c r="L245">
        <v>7</v>
      </c>
      <c r="M245">
        <v>4</v>
      </c>
      <c r="N245">
        <v>4</v>
      </c>
      <c r="O245">
        <v>16</v>
      </c>
      <c r="P245">
        <v>12</v>
      </c>
      <c r="Q245">
        <v>4</v>
      </c>
      <c r="R245">
        <v>4</v>
      </c>
      <c r="S245">
        <v>1</v>
      </c>
      <c r="T245">
        <v>3</v>
      </c>
      <c r="U245">
        <v>0</v>
      </c>
      <c r="V245">
        <v>0</v>
      </c>
      <c r="W245">
        <v>1.44</v>
      </c>
      <c r="X245">
        <v>4.2</v>
      </c>
      <c r="Y245">
        <v>7.5</v>
      </c>
      <c r="Z245">
        <v>1.45</v>
      </c>
      <c r="AA245">
        <v>4</v>
      </c>
      <c r="AB245">
        <v>7.75</v>
      </c>
      <c r="AC245">
        <v>1.4</v>
      </c>
      <c r="AD245">
        <v>4.4000000000000004</v>
      </c>
      <c r="AE245">
        <v>7.3</v>
      </c>
      <c r="AF245">
        <v>1.44</v>
      </c>
      <c r="AG245">
        <v>4.33</v>
      </c>
      <c r="AH245">
        <v>7</v>
      </c>
      <c r="AI245">
        <v>1.47</v>
      </c>
      <c r="AJ245">
        <v>4.1900000000000004</v>
      </c>
      <c r="AK245">
        <v>9.77</v>
      </c>
      <c r="AL245">
        <v>1.5</v>
      </c>
      <c r="AM245">
        <v>3.6</v>
      </c>
      <c r="AN245">
        <v>8</v>
      </c>
      <c r="AO245">
        <v>1.44</v>
      </c>
      <c r="AP245">
        <v>4</v>
      </c>
      <c r="AQ245">
        <v>7.5</v>
      </c>
      <c r="AR245">
        <v>1.45</v>
      </c>
      <c r="AS245">
        <v>4.2</v>
      </c>
      <c r="AT245">
        <v>8</v>
      </c>
      <c r="AU245">
        <v>44</v>
      </c>
      <c r="AV245">
        <v>1.5</v>
      </c>
      <c r="AW245">
        <v>1.45</v>
      </c>
      <c r="AX245">
        <v>4.55</v>
      </c>
      <c r="AY245">
        <v>4.09</v>
      </c>
      <c r="AZ245">
        <v>9.77</v>
      </c>
      <c r="BA245">
        <v>7.91</v>
      </c>
      <c r="BB245">
        <v>40</v>
      </c>
      <c r="BC245">
        <v>1.92</v>
      </c>
      <c r="BD245">
        <v>1.83</v>
      </c>
      <c r="BE245">
        <v>2.08</v>
      </c>
      <c r="BF245">
        <v>1.95</v>
      </c>
      <c r="BG245">
        <v>20</v>
      </c>
      <c r="BH245">
        <v>-1</v>
      </c>
      <c r="BI245">
        <v>1.81</v>
      </c>
      <c r="BJ245">
        <v>1.75</v>
      </c>
      <c r="BK245">
        <v>2.2200000000000002</v>
      </c>
      <c r="BL245">
        <v>2.11</v>
      </c>
      <c r="BM245">
        <v>1.46</v>
      </c>
      <c r="BN245">
        <v>4.37</v>
      </c>
      <c r="BO245">
        <v>9.52</v>
      </c>
    </row>
    <row r="246" spans="1:67">
      <c r="A246" t="s">
        <v>63</v>
      </c>
      <c r="B246" s="77">
        <v>41693</v>
      </c>
      <c r="C246" t="s">
        <v>77</v>
      </c>
      <c r="D246" t="s">
        <v>68</v>
      </c>
      <c r="E246">
        <v>2</v>
      </c>
      <c r="F246">
        <v>3</v>
      </c>
      <c r="G246" t="s">
        <v>66</v>
      </c>
      <c r="H246">
        <v>0</v>
      </c>
      <c r="I246">
        <v>3</v>
      </c>
      <c r="J246" t="s">
        <v>66</v>
      </c>
      <c r="K246">
        <v>21</v>
      </c>
      <c r="L246">
        <v>16</v>
      </c>
      <c r="M246">
        <v>4</v>
      </c>
      <c r="N246">
        <v>7</v>
      </c>
      <c r="O246">
        <v>19</v>
      </c>
      <c r="P246">
        <v>13</v>
      </c>
      <c r="Q246">
        <v>6</v>
      </c>
      <c r="R246">
        <v>8</v>
      </c>
      <c r="S246">
        <v>4</v>
      </c>
      <c r="T246">
        <v>2</v>
      </c>
      <c r="U246">
        <v>0</v>
      </c>
      <c r="V246">
        <v>0</v>
      </c>
      <c r="W246">
        <v>2.38</v>
      </c>
      <c r="X246">
        <v>3.25</v>
      </c>
      <c r="Y246">
        <v>3</v>
      </c>
      <c r="Z246">
        <v>2.4500000000000002</v>
      </c>
      <c r="AA246">
        <v>3.2</v>
      </c>
      <c r="AB246">
        <v>2.9</v>
      </c>
      <c r="AC246">
        <v>2.4</v>
      </c>
      <c r="AD246">
        <v>3.3</v>
      </c>
      <c r="AE246">
        <v>2.75</v>
      </c>
      <c r="AF246">
        <v>2.37</v>
      </c>
      <c r="AG246">
        <v>3.3</v>
      </c>
      <c r="AH246">
        <v>2.9</v>
      </c>
      <c r="AI246">
        <v>2.4</v>
      </c>
      <c r="AJ246">
        <v>3.28</v>
      </c>
      <c r="AK246">
        <v>3.35</v>
      </c>
      <c r="AL246">
        <v>2.5</v>
      </c>
      <c r="AM246">
        <v>3</v>
      </c>
      <c r="AN246">
        <v>3</v>
      </c>
      <c r="AO246">
        <v>2.38</v>
      </c>
      <c r="AP246">
        <v>3.2</v>
      </c>
      <c r="AQ246">
        <v>3</v>
      </c>
      <c r="AR246">
        <v>2.4</v>
      </c>
      <c r="AS246">
        <v>3.25</v>
      </c>
      <c r="AT246">
        <v>3.2</v>
      </c>
      <c r="AU246">
        <v>44</v>
      </c>
      <c r="AV246">
        <v>2.5</v>
      </c>
      <c r="AW246">
        <v>2.39</v>
      </c>
      <c r="AX246">
        <v>3.4</v>
      </c>
      <c r="AY246">
        <v>3.21</v>
      </c>
      <c r="AZ246">
        <v>3.35</v>
      </c>
      <c r="BA246">
        <v>3.03</v>
      </c>
      <c r="BB246">
        <v>40</v>
      </c>
      <c r="BC246">
        <v>2.06</v>
      </c>
      <c r="BD246">
        <v>1.97</v>
      </c>
      <c r="BE246">
        <v>1.9</v>
      </c>
      <c r="BF246">
        <v>1.8</v>
      </c>
      <c r="BG246">
        <v>19</v>
      </c>
      <c r="BH246">
        <v>0</v>
      </c>
      <c r="BI246">
        <v>1.75</v>
      </c>
      <c r="BJ246">
        <v>1.68</v>
      </c>
      <c r="BK246">
        <v>2.34</v>
      </c>
      <c r="BL246">
        <v>2.2000000000000002</v>
      </c>
      <c r="BM246">
        <v>2.5099999999999998</v>
      </c>
      <c r="BN246">
        <v>3.3</v>
      </c>
      <c r="BO246">
        <v>3.14</v>
      </c>
    </row>
    <row r="247" spans="1:67">
      <c r="A247" t="s">
        <v>63</v>
      </c>
      <c r="B247" s="77">
        <v>41693</v>
      </c>
      <c r="C247" t="s">
        <v>64</v>
      </c>
      <c r="D247" t="s">
        <v>69</v>
      </c>
      <c r="E247">
        <v>0</v>
      </c>
      <c r="F247">
        <v>2</v>
      </c>
      <c r="G247" t="s">
        <v>66</v>
      </c>
      <c r="H247">
        <v>0</v>
      </c>
      <c r="I247">
        <v>1</v>
      </c>
      <c r="J247" t="s">
        <v>66</v>
      </c>
      <c r="K247">
        <v>8</v>
      </c>
      <c r="L247">
        <v>14</v>
      </c>
      <c r="M247">
        <v>3</v>
      </c>
      <c r="N247">
        <v>8</v>
      </c>
      <c r="O247">
        <v>12</v>
      </c>
      <c r="P247">
        <v>12</v>
      </c>
      <c r="Q247">
        <v>4</v>
      </c>
      <c r="R247">
        <v>4</v>
      </c>
      <c r="S247">
        <v>4</v>
      </c>
      <c r="T247">
        <v>3</v>
      </c>
      <c r="U247">
        <v>1</v>
      </c>
      <c r="V247">
        <v>0</v>
      </c>
      <c r="W247">
        <v>3.2</v>
      </c>
      <c r="X247">
        <v>3.2</v>
      </c>
      <c r="Y247">
        <v>2.2999999999999998</v>
      </c>
      <c r="Z247">
        <v>3.2</v>
      </c>
      <c r="AA247">
        <v>3.25</v>
      </c>
      <c r="AB247">
        <v>2.25</v>
      </c>
      <c r="AC247">
        <v>3.2</v>
      </c>
      <c r="AD247">
        <v>3.2</v>
      </c>
      <c r="AE247">
        <v>2.2000000000000002</v>
      </c>
      <c r="AF247">
        <v>3</v>
      </c>
      <c r="AG247">
        <v>3.25</v>
      </c>
      <c r="AH247">
        <v>2.37</v>
      </c>
      <c r="AI247">
        <v>3.38</v>
      </c>
      <c r="AJ247">
        <v>3.25</v>
      </c>
      <c r="AK247">
        <v>2.4</v>
      </c>
      <c r="AL247">
        <v>3.1</v>
      </c>
      <c r="AM247">
        <v>3.1</v>
      </c>
      <c r="AN247">
        <v>2.4</v>
      </c>
      <c r="AO247">
        <v>3.13</v>
      </c>
      <c r="AP247">
        <v>3.13</v>
      </c>
      <c r="AQ247">
        <v>2.2999999999999998</v>
      </c>
      <c r="AR247">
        <v>3.3</v>
      </c>
      <c r="AS247">
        <v>3.25</v>
      </c>
      <c r="AT247">
        <v>2.4</v>
      </c>
      <c r="AU247">
        <v>44</v>
      </c>
      <c r="AV247">
        <v>3.45</v>
      </c>
      <c r="AW247">
        <v>3.16</v>
      </c>
      <c r="AX247">
        <v>3.3</v>
      </c>
      <c r="AY247">
        <v>3.18</v>
      </c>
      <c r="AZ247">
        <v>2.4</v>
      </c>
      <c r="BA247">
        <v>2.3199999999999998</v>
      </c>
      <c r="BB247">
        <v>39</v>
      </c>
      <c r="BC247">
        <v>2.25</v>
      </c>
      <c r="BD247">
        <v>2.13</v>
      </c>
      <c r="BE247">
        <v>1.75</v>
      </c>
      <c r="BF247">
        <v>1.69</v>
      </c>
      <c r="BG247">
        <v>19</v>
      </c>
      <c r="BH247">
        <v>0</v>
      </c>
      <c r="BI247">
        <v>2.35</v>
      </c>
      <c r="BJ247">
        <v>2.25</v>
      </c>
      <c r="BK247">
        <v>1.7</v>
      </c>
      <c r="BL247">
        <v>1.65</v>
      </c>
      <c r="BM247">
        <v>3.25</v>
      </c>
      <c r="BN247">
        <v>3.29</v>
      </c>
      <c r="BO247">
        <v>2.44</v>
      </c>
    </row>
    <row r="248" spans="1:67">
      <c r="A248" t="s">
        <v>63</v>
      </c>
      <c r="B248" s="77">
        <v>41693</v>
      </c>
      <c r="C248" t="s">
        <v>76</v>
      </c>
      <c r="D248" t="s">
        <v>72</v>
      </c>
      <c r="E248">
        <v>1</v>
      </c>
      <c r="F248">
        <v>1</v>
      </c>
      <c r="G248" t="s">
        <v>67</v>
      </c>
      <c r="H248">
        <v>0</v>
      </c>
      <c r="I248">
        <v>1</v>
      </c>
      <c r="J248" t="s">
        <v>66</v>
      </c>
      <c r="K248">
        <v>11</v>
      </c>
      <c r="L248">
        <v>8</v>
      </c>
      <c r="M248">
        <v>6</v>
      </c>
      <c r="N248">
        <v>4</v>
      </c>
      <c r="O248">
        <v>15</v>
      </c>
      <c r="P248">
        <v>17</v>
      </c>
      <c r="Q248">
        <v>6</v>
      </c>
      <c r="R248">
        <v>7</v>
      </c>
      <c r="S248">
        <v>2</v>
      </c>
      <c r="T248">
        <v>2</v>
      </c>
      <c r="U248">
        <v>0</v>
      </c>
      <c r="V248">
        <v>0</v>
      </c>
      <c r="W248">
        <v>1.75</v>
      </c>
      <c r="X248">
        <v>3.4</v>
      </c>
      <c r="Y248">
        <v>5</v>
      </c>
      <c r="Z248">
        <v>1.75</v>
      </c>
      <c r="AA248">
        <v>3.5</v>
      </c>
      <c r="AB248">
        <v>4.75</v>
      </c>
      <c r="AC248">
        <v>1.75</v>
      </c>
      <c r="AD248">
        <v>3.5</v>
      </c>
      <c r="AE248">
        <v>4.5</v>
      </c>
      <c r="AF248">
        <v>1.8</v>
      </c>
      <c r="AG248">
        <v>3.5</v>
      </c>
      <c r="AH248">
        <v>4.5</v>
      </c>
      <c r="AI248">
        <v>1.8</v>
      </c>
      <c r="AJ248">
        <v>3.49</v>
      </c>
      <c r="AK248">
        <v>5.62</v>
      </c>
      <c r="AL248">
        <v>1.83</v>
      </c>
      <c r="AM248">
        <v>3.2</v>
      </c>
      <c r="AN248">
        <v>5</v>
      </c>
      <c r="AO248">
        <v>1.73</v>
      </c>
      <c r="AP248">
        <v>3.3</v>
      </c>
      <c r="AQ248">
        <v>4.8</v>
      </c>
      <c r="AR248">
        <v>1.83</v>
      </c>
      <c r="AS248">
        <v>3.5</v>
      </c>
      <c r="AT248">
        <v>5.2</v>
      </c>
      <c r="AU248">
        <v>44</v>
      </c>
      <c r="AV248">
        <v>1.85</v>
      </c>
      <c r="AW248">
        <v>1.77</v>
      </c>
      <c r="AX248">
        <v>3.6</v>
      </c>
      <c r="AY248">
        <v>3.41</v>
      </c>
      <c r="AZ248">
        <v>5.9</v>
      </c>
      <c r="BA248">
        <v>4.96</v>
      </c>
      <c r="BB248">
        <v>38</v>
      </c>
      <c r="BC248">
        <v>2.34</v>
      </c>
      <c r="BD248">
        <v>2.2200000000000002</v>
      </c>
      <c r="BE248">
        <v>1.7</v>
      </c>
      <c r="BF248">
        <v>1.63</v>
      </c>
      <c r="BG248">
        <v>18</v>
      </c>
      <c r="BH248">
        <v>-0.5</v>
      </c>
      <c r="BI248">
        <v>1.8</v>
      </c>
      <c r="BJ248">
        <v>1.77</v>
      </c>
      <c r="BK248">
        <v>2.17</v>
      </c>
      <c r="BL248">
        <v>2.1</v>
      </c>
      <c r="BM248">
        <v>1.85</v>
      </c>
      <c r="BN248">
        <v>3.47</v>
      </c>
      <c r="BO248">
        <v>5.16</v>
      </c>
    </row>
    <row r="249" spans="1:67">
      <c r="A249" t="s">
        <v>63</v>
      </c>
      <c r="B249" s="77">
        <v>41694</v>
      </c>
      <c r="C249" t="s">
        <v>79</v>
      </c>
      <c r="D249" t="s">
        <v>74</v>
      </c>
      <c r="E249">
        <v>1</v>
      </c>
      <c r="F249">
        <v>1</v>
      </c>
      <c r="G249" t="s">
        <v>67</v>
      </c>
      <c r="H249">
        <v>1</v>
      </c>
      <c r="I249">
        <v>0</v>
      </c>
      <c r="J249" t="s">
        <v>70</v>
      </c>
      <c r="K249">
        <v>9</v>
      </c>
      <c r="L249">
        <v>11</v>
      </c>
      <c r="M249">
        <v>3</v>
      </c>
      <c r="N249">
        <v>5</v>
      </c>
      <c r="O249">
        <v>19</v>
      </c>
      <c r="P249">
        <v>15</v>
      </c>
      <c r="Q249">
        <v>5</v>
      </c>
      <c r="R249">
        <v>5</v>
      </c>
      <c r="S249">
        <v>5</v>
      </c>
      <c r="T249">
        <v>2</v>
      </c>
      <c r="U249">
        <v>0</v>
      </c>
      <c r="V249">
        <v>0</v>
      </c>
      <c r="W249">
        <v>1.29</v>
      </c>
      <c r="X249">
        <v>5</v>
      </c>
      <c r="Y249">
        <v>12</v>
      </c>
      <c r="Z249">
        <v>1.26</v>
      </c>
      <c r="AA249">
        <v>5.5</v>
      </c>
      <c r="AB249">
        <v>11</v>
      </c>
      <c r="AC249">
        <v>1.33</v>
      </c>
      <c r="AD249">
        <v>5</v>
      </c>
      <c r="AE249">
        <v>8</v>
      </c>
      <c r="AF249">
        <v>1.33</v>
      </c>
      <c r="AG249">
        <v>5</v>
      </c>
      <c r="AH249">
        <v>9</v>
      </c>
      <c r="AI249">
        <v>1.3</v>
      </c>
      <c r="AJ249">
        <v>5.67</v>
      </c>
      <c r="AK249">
        <v>13.71</v>
      </c>
      <c r="AL249">
        <v>1.3</v>
      </c>
      <c r="AM249">
        <v>5</v>
      </c>
      <c r="AN249">
        <v>11</v>
      </c>
      <c r="AO249">
        <v>1.29</v>
      </c>
      <c r="AP249">
        <v>5</v>
      </c>
      <c r="AQ249">
        <v>10</v>
      </c>
      <c r="AR249">
        <v>1.3</v>
      </c>
      <c r="AS249">
        <v>5.4</v>
      </c>
      <c r="AT249">
        <v>13</v>
      </c>
      <c r="AU249">
        <v>42</v>
      </c>
      <c r="AV249">
        <v>1.33</v>
      </c>
      <c r="AW249">
        <v>1.29</v>
      </c>
      <c r="AX249">
        <v>5.7</v>
      </c>
      <c r="AY249">
        <v>5.23</v>
      </c>
      <c r="AZ249">
        <v>13.71</v>
      </c>
      <c r="BA249">
        <v>11.04</v>
      </c>
      <c r="BB249">
        <v>39</v>
      </c>
      <c r="BC249">
        <v>1.75</v>
      </c>
      <c r="BD249">
        <v>1.68</v>
      </c>
      <c r="BE249">
        <v>2.3199999999999998</v>
      </c>
      <c r="BF249">
        <v>2.14</v>
      </c>
      <c r="BG249">
        <v>22</v>
      </c>
      <c r="BH249">
        <v>-1.5</v>
      </c>
      <c r="BI249">
        <v>1.94</v>
      </c>
      <c r="BJ249">
        <v>1.87</v>
      </c>
      <c r="BK249">
        <v>2.0299999999999998</v>
      </c>
      <c r="BL249">
        <v>1.98</v>
      </c>
      <c r="BM249">
        <v>1.31</v>
      </c>
      <c r="BN249">
        <v>5.77</v>
      </c>
      <c r="BO249">
        <v>12.25</v>
      </c>
    </row>
    <row r="250" spans="1:67">
      <c r="A250" t="s">
        <v>63</v>
      </c>
      <c r="B250" s="77">
        <v>41694</v>
      </c>
      <c r="C250" t="s">
        <v>81</v>
      </c>
      <c r="D250" t="s">
        <v>85</v>
      </c>
      <c r="E250">
        <v>2</v>
      </c>
      <c r="F250">
        <v>2</v>
      </c>
      <c r="G250" t="s">
        <v>67</v>
      </c>
      <c r="H250">
        <v>1</v>
      </c>
      <c r="I250">
        <v>1</v>
      </c>
      <c r="J250" t="s">
        <v>67</v>
      </c>
      <c r="K250">
        <v>11</v>
      </c>
      <c r="L250">
        <v>17</v>
      </c>
      <c r="M250">
        <v>5</v>
      </c>
      <c r="N250">
        <v>2</v>
      </c>
      <c r="O250">
        <v>18</v>
      </c>
      <c r="P250">
        <v>13</v>
      </c>
      <c r="Q250">
        <v>1</v>
      </c>
      <c r="R250">
        <v>6</v>
      </c>
      <c r="S250">
        <v>3</v>
      </c>
      <c r="T250">
        <v>3</v>
      </c>
      <c r="U250">
        <v>1</v>
      </c>
      <c r="V250">
        <v>2</v>
      </c>
      <c r="W250">
        <v>2.4</v>
      </c>
      <c r="X250">
        <v>3.2</v>
      </c>
      <c r="Y250">
        <v>3</v>
      </c>
      <c r="Z250">
        <v>2.4</v>
      </c>
      <c r="AA250">
        <v>3.25</v>
      </c>
      <c r="AB250">
        <v>2.95</v>
      </c>
      <c r="AC250">
        <v>2.6</v>
      </c>
      <c r="AD250">
        <v>3.2</v>
      </c>
      <c r="AE250">
        <v>2.6</v>
      </c>
      <c r="AF250">
        <v>2.5</v>
      </c>
      <c r="AG250">
        <v>3.3</v>
      </c>
      <c r="AH250">
        <v>2.75</v>
      </c>
      <c r="AI250">
        <v>2.48</v>
      </c>
      <c r="AJ250">
        <v>3.35</v>
      </c>
      <c r="AK250">
        <v>3.14</v>
      </c>
      <c r="AL250">
        <v>2.5</v>
      </c>
      <c r="AM250">
        <v>3</v>
      </c>
      <c r="AN250">
        <v>3</v>
      </c>
      <c r="AO250">
        <v>2.4</v>
      </c>
      <c r="AP250">
        <v>3.13</v>
      </c>
      <c r="AQ250">
        <v>2.88</v>
      </c>
      <c r="AR250">
        <v>2.5499999999999998</v>
      </c>
      <c r="AS250">
        <v>3.25</v>
      </c>
      <c r="AT250">
        <v>3</v>
      </c>
      <c r="AU250">
        <v>40</v>
      </c>
      <c r="AV250">
        <v>2.6</v>
      </c>
      <c r="AW250">
        <v>2.44</v>
      </c>
      <c r="AX250">
        <v>3.35</v>
      </c>
      <c r="AY250">
        <v>3.19</v>
      </c>
      <c r="AZ250">
        <v>3.2</v>
      </c>
      <c r="BA250">
        <v>2.97</v>
      </c>
      <c r="BB250">
        <v>36</v>
      </c>
      <c r="BC250">
        <v>2.11</v>
      </c>
      <c r="BD250">
        <v>2.0299999999999998</v>
      </c>
      <c r="BE250">
        <v>1.93</v>
      </c>
      <c r="BF250">
        <v>1.77</v>
      </c>
      <c r="BG250">
        <v>19</v>
      </c>
      <c r="BH250">
        <v>0</v>
      </c>
      <c r="BI250">
        <v>1.8</v>
      </c>
      <c r="BJ250">
        <v>1.73</v>
      </c>
      <c r="BK250">
        <v>2.25</v>
      </c>
      <c r="BL250">
        <v>2.13</v>
      </c>
      <c r="BM250">
        <v>2.5</v>
      </c>
      <c r="BN250">
        <v>3.28</v>
      </c>
      <c r="BO250">
        <v>3.19</v>
      </c>
    </row>
    <row r="251" spans="1:67">
      <c r="A251" t="s">
        <v>63</v>
      </c>
      <c r="B251" s="77">
        <v>41699</v>
      </c>
      <c r="C251" t="s">
        <v>78</v>
      </c>
      <c r="D251" t="s">
        <v>73</v>
      </c>
      <c r="E251">
        <v>0</v>
      </c>
      <c r="F251">
        <v>0</v>
      </c>
      <c r="G251" t="s">
        <v>67</v>
      </c>
      <c r="H251">
        <v>0</v>
      </c>
      <c r="I251">
        <v>0</v>
      </c>
      <c r="J251" t="s">
        <v>67</v>
      </c>
      <c r="K251">
        <v>10</v>
      </c>
      <c r="L251">
        <v>11</v>
      </c>
      <c r="M251">
        <v>4</v>
      </c>
      <c r="N251">
        <v>1</v>
      </c>
      <c r="O251">
        <v>14</v>
      </c>
      <c r="P251">
        <v>19</v>
      </c>
      <c r="Q251">
        <v>5</v>
      </c>
      <c r="R251">
        <v>6</v>
      </c>
      <c r="S251">
        <v>0</v>
      </c>
      <c r="T251">
        <v>1</v>
      </c>
      <c r="U251">
        <v>0</v>
      </c>
      <c r="V251">
        <v>0</v>
      </c>
      <c r="W251">
        <v>1.62</v>
      </c>
      <c r="X251">
        <v>3.8</v>
      </c>
      <c r="Y251">
        <v>5.5</v>
      </c>
      <c r="Z251">
        <v>1.67</v>
      </c>
      <c r="AA251">
        <v>4</v>
      </c>
      <c r="AB251">
        <v>5.25</v>
      </c>
      <c r="AC251">
        <v>1.7</v>
      </c>
      <c r="AD251">
        <v>3.6</v>
      </c>
      <c r="AE251">
        <v>4.7</v>
      </c>
      <c r="AF251">
        <v>1.66</v>
      </c>
      <c r="AG251">
        <v>3.75</v>
      </c>
      <c r="AH251">
        <v>5</v>
      </c>
      <c r="AI251">
        <v>1.66</v>
      </c>
      <c r="AJ251">
        <v>3.97</v>
      </c>
      <c r="AK251">
        <v>6</v>
      </c>
      <c r="AL251">
        <v>1.7</v>
      </c>
      <c r="AM251">
        <v>3.2</v>
      </c>
      <c r="AN251">
        <v>6</v>
      </c>
      <c r="AO251">
        <v>1.62</v>
      </c>
      <c r="AP251">
        <v>3.6</v>
      </c>
      <c r="AQ251">
        <v>5.25</v>
      </c>
      <c r="AR251">
        <v>1.7</v>
      </c>
      <c r="AS251">
        <v>3.7</v>
      </c>
      <c r="AT251">
        <v>6</v>
      </c>
      <c r="AU251">
        <v>43</v>
      </c>
      <c r="AV251">
        <v>1.7</v>
      </c>
      <c r="AW251">
        <v>1.65</v>
      </c>
      <c r="AX251">
        <v>4</v>
      </c>
      <c r="AY251">
        <v>3.75</v>
      </c>
      <c r="AZ251">
        <v>6.02</v>
      </c>
      <c r="BA251">
        <v>5.44</v>
      </c>
      <c r="BB251">
        <v>40</v>
      </c>
      <c r="BC251">
        <v>1.94</v>
      </c>
      <c r="BD251">
        <v>1.87</v>
      </c>
      <c r="BE251">
        <v>2.06</v>
      </c>
      <c r="BF251">
        <v>1.91</v>
      </c>
      <c r="BG251">
        <v>23</v>
      </c>
      <c r="BH251">
        <v>-1</v>
      </c>
      <c r="BI251">
        <v>2.2000000000000002</v>
      </c>
      <c r="BJ251">
        <v>2.14</v>
      </c>
      <c r="BK251">
        <v>1.79</v>
      </c>
      <c r="BL251">
        <v>1.74</v>
      </c>
      <c r="BM251">
        <v>1.71</v>
      </c>
      <c r="BN251">
        <v>3.92</v>
      </c>
      <c r="BO251">
        <v>5.58</v>
      </c>
    </row>
    <row r="252" spans="1:67">
      <c r="A252" t="s">
        <v>63</v>
      </c>
      <c r="B252" s="77">
        <v>41700</v>
      </c>
      <c r="C252" t="s">
        <v>72</v>
      </c>
      <c r="D252" t="s">
        <v>82</v>
      </c>
      <c r="E252">
        <v>2</v>
      </c>
      <c r="F252">
        <v>1</v>
      </c>
      <c r="G252" t="s">
        <v>70</v>
      </c>
      <c r="H252">
        <v>1</v>
      </c>
      <c r="I252">
        <v>0</v>
      </c>
      <c r="J252" t="s">
        <v>70</v>
      </c>
      <c r="K252">
        <v>12</v>
      </c>
      <c r="L252">
        <v>12</v>
      </c>
      <c r="M252">
        <v>5</v>
      </c>
      <c r="N252">
        <v>4</v>
      </c>
      <c r="O252">
        <v>12</v>
      </c>
      <c r="P252">
        <v>10</v>
      </c>
      <c r="Q252">
        <v>6</v>
      </c>
      <c r="R252">
        <v>8</v>
      </c>
      <c r="S252">
        <v>1</v>
      </c>
      <c r="T252">
        <v>3</v>
      </c>
      <c r="U252">
        <v>0</v>
      </c>
      <c r="V252">
        <v>1</v>
      </c>
      <c r="W252">
        <v>2.0499999999999998</v>
      </c>
      <c r="X252">
        <v>3.25</v>
      </c>
      <c r="Y252">
        <v>3.75</v>
      </c>
      <c r="Z252">
        <v>2</v>
      </c>
      <c r="AA252">
        <v>3.1</v>
      </c>
      <c r="AB252">
        <v>4.0999999999999996</v>
      </c>
      <c r="AC252">
        <v>2</v>
      </c>
      <c r="AD252">
        <v>3.2</v>
      </c>
      <c r="AE252">
        <v>3.75</v>
      </c>
      <c r="AF252">
        <v>2.0499999999999998</v>
      </c>
      <c r="AG252">
        <v>3.25</v>
      </c>
      <c r="AH252">
        <v>3.75</v>
      </c>
      <c r="AI252">
        <v>2.12</v>
      </c>
      <c r="AJ252">
        <v>3.13</v>
      </c>
      <c r="AK252">
        <v>4.3600000000000003</v>
      </c>
      <c r="AL252">
        <v>2.1</v>
      </c>
      <c r="AM252">
        <v>3</v>
      </c>
      <c r="AN252">
        <v>4</v>
      </c>
      <c r="AO252">
        <v>2.0499999999999998</v>
      </c>
      <c r="AP252">
        <v>3.2</v>
      </c>
      <c r="AQ252">
        <v>3.6</v>
      </c>
      <c r="AR252">
        <v>2.15</v>
      </c>
      <c r="AS252">
        <v>3.1</v>
      </c>
      <c r="AT252">
        <v>4.2</v>
      </c>
      <c r="AU252">
        <v>43</v>
      </c>
      <c r="AV252">
        <v>2.15</v>
      </c>
      <c r="AW252">
        <v>2.0699999999999998</v>
      </c>
      <c r="AX252">
        <v>3.4</v>
      </c>
      <c r="AY252">
        <v>3.2</v>
      </c>
      <c r="AZ252">
        <v>4.3600000000000003</v>
      </c>
      <c r="BA252">
        <v>3.8</v>
      </c>
      <c r="BB252">
        <v>37</v>
      </c>
      <c r="BC252">
        <v>2.59</v>
      </c>
      <c r="BD252">
        <v>2.4</v>
      </c>
      <c r="BE252">
        <v>1.65</v>
      </c>
      <c r="BF252">
        <v>1.54</v>
      </c>
      <c r="BG252">
        <v>22</v>
      </c>
      <c r="BH252">
        <v>-0.5</v>
      </c>
      <c r="BI252">
        <v>2.13</v>
      </c>
      <c r="BJ252">
        <v>2.0699999999999998</v>
      </c>
      <c r="BK252">
        <v>1.84</v>
      </c>
      <c r="BL252">
        <v>1.79</v>
      </c>
      <c r="BM252">
        <v>2.21</v>
      </c>
      <c r="BN252">
        <v>3.18</v>
      </c>
      <c r="BO252">
        <v>3.93</v>
      </c>
    </row>
    <row r="253" spans="1:67">
      <c r="A253" t="s">
        <v>63</v>
      </c>
      <c r="B253" s="77">
        <v>41700</v>
      </c>
      <c r="C253" t="s">
        <v>71</v>
      </c>
      <c r="D253" t="s">
        <v>76</v>
      </c>
      <c r="E253">
        <v>3</v>
      </c>
      <c r="F253">
        <v>0</v>
      </c>
      <c r="G253" t="s">
        <v>70</v>
      </c>
      <c r="H253">
        <v>1</v>
      </c>
      <c r="I253">
        <v>0</v>
      </c>
      <c r="J253" t="s">
        <v>70</v>
      </c>
      <c r="K253">
        <v>9</v>
      </c>
      <c r="L253">
        <v>16</v>
      </c>
      <c r="M253">
        <v>4</v>
      </c>
      <c r="N253">
        <v>5</v>
      </c>
      <c r="O253">
        <v>15</v>
      </c>
      <c r="P253">
        <v>13</v>
      </c>
      <c r="Q253">
        <v>2</v>
      </c>
      <c r="R253">
        <v>9</v>
      </c>
      <c r="S253">
        <v>3</v>
      </c>
      <c r="T253">
        <v>1</v>
      </c>
      <c r="U253">
        <v>0</v>
      </c>
      <c r="V253">
        <v>0</v>
      </c>
      <c r="W253">
        <v>2.38</v>
      </c>
      <c r="X253">
        <v>3.2</v>
      </c>
      <c r="Y253">
        <v>3</v>
      </c>
      <c r="Z253">
        <v>2.4500000000000002</v>
      </c>
      <c r="AA253">
        <v>3.1</v>
      </c>
      <c r="AB253">
        <v>3</v>
      </c>
      <c r="AC253">
        <v>2.4</v>
      </c>
      <c r="AD253">
        <v>3.2</v>
      </c>
      <c r="AE253">
        <v>2.85</v>
      </c>
      <c r="AF253">
        <v>2.4</v>
      </c>
      <c r="AG253">
        <v>3.2</v>
      </c>
      <c r="AH253">
        <v>3</v>
      </c>
      <c r="AI253">
        <v>2.4900000000000002</v>
      </c>
      <c r="AJ253">
        <v>3.17</v>
      </c>
      <c r="AK253">
        <v>3.3</v>
      </c>
      <c r="AL253">
        <v>2.5</v>
      </c>
      <c r="AM253">
        <v>3</v>
      </c>
      <c r="AN253">
        <v>3</v>
      </c>
      <c r="AO253">
        <v>2.4</v>
      </c>
      <c r="AP253">
        <v>3.13</v>
      </c>
      <c r="AQ253">
        <v>2.88</v>
      </c>
      <c r="AR253">
        <v>2.5499999999999998</v>
      </c>
      <c r="AS253">
        <v>3.12</v>
      </c>
      <c r="AT253">
        <v>3.2</v>
      </c>
      <c r="AU253">
        <v>43</v>
      </c>
      <c r="AV253">
        <v>2.58</v>
      </c>
      <c r="AW253">
        <v>2.46</v>
      </c>
      <c r="AX253">
        <v>3.25</v>
      </c>
      <c r="AY253">
        <v>3.15</v>
      </c>
      <c r="AZ253">
        <v>3.3</v>
      </c>
      <c r="BA253">
        <v>2.99</v>
      </c>
      <c r="BB253">
        <v>36</v>
      </c>
      <c r="BC253">
        <v>2.4300000000000002</v>
      </c>
      <c r="BD253">
        <v>2.2999999999999998</v>
      </c>
      <c r="BE253">
        <v>1.72</v>
      </c>
      <c r="BF253">
        <v>1.59</v>
      </c>
      <c r="BG253">
        <v>23</v>
      </c>
      <c r="BH253">
        <v>0</v>
      </c>
      <c r="BI253">
        <v>1.78</v>
      </c>
      <c r="BJ253">
        <v>1.72</v>
      </c>
      <c r="BK253">
        <v>2.27</v>
      </c>
      <c r="BL253">
        <v>2.15</v>
      </c>
      <c r="BM253">
        <v>2.6</v>
      </c>
      <c r="BN253">
        <v>3.23</v>
      </c>
      <c r="BO253">
        <v>3.07</v>
      </c>
    </row>
    <row r="254" spans="1:67">
      <c r="A254" t="s">
        <v>63</v>
      </c>
      <c r="B254" s="77">
        <v>41700</v>
      </c>
      <c r="C254" t="s">
        <v>85</v>
      </c>
      <c r="D254" t="s">
        <v>75</v>
      </c>
      <c r="E254">
        <v>0</v>
      </c>
      <c r="F254">
        <v>1</v>
      </c>
      <c r="G254" t="s">
        <v>66</v>
      </c>
      <c r="H254">
        <v>0</v>
      </c>
      <c r="I254">
        <v>1</v>
      </c>
      <c r="J254" t="s">
        <v>66</v>
      </c>
      <c r="K254">
        <v>18</v>
      </c>
      <c r="L254">
        <v>10</v>
      </c>
      <c r="M254">
        <v>2</v>
      </c>
      <c r="N254">
        <v>3</v>
      </c>
      <c r="O254">
        <v>12</v>
      </c>
      <c r="P254">
        <v>13</v>
      </c>
      <c r="Q254">
        <v>7</v>
      </c>
      <c r="R254">
        <v>6</v>
      </c>
      <c r="S254">
        <v>3</v>
      </c>
      <c r="T254">
        <v>3</v>
      </c>
      <c r="U254">
        <v>0</v>
      </c>
      <c r="V254">
        <v>0</v>
      </c>
      <c r="W254">
        <v>1.91</v>
      </c>
      <c r="X254">
        <v>3.3</v>
      </c>
      <c r="Y254">
        <v>4.2</v>
      </c>
      <c r="Z254">
        <v>1.95</v>
      </c>
      <c r="AA254">
        <v>3.5</v>
      </c>
      <c r="AB254">
        <v>4.2</v>
      </c>
      <c r="AC254">
        <v>1.8</v>
      </c>
      <c r="AD254">
        <v>3.5</v>
      </c>
      <c r="AE254">
        <v>4.2</v>
      </c>
      <c r="AF254">
        <v>1.8</v>
      </c>
      <c r="AG254">
        <v>3.5</v>
      </c>
      <c r="AH254">
        <v>4.5</v>
      </c>
      <c r="AI254">
        <v>1.93</v>
      </c>
      <c r="AJ254">
        <v>3.51</v>
      </c>
      <c r="AK254">
        <v>4.51</v>
      </c>
      <c r="AL254">
        <v>1.91</v>
      </c>
      <c r="AM254">
        <v>3.2</v>
      </c>
      <c r="AN254">
        <v>4.33</v>
      </c>
      <c r="AO254">
        <v>1.9</v>
      </c>
      <c r="AP254">
        <v>3.3</v>
      </c>
      <c r="AQ254">
        <v>4</v>
      </c>
      <c r="AR254">
        <v>1.92</v>
      </c>
      <c r="AS254">
        <v>3.4</v>
      </c>
      <c r="AT254">
        <v>4.75</v>
      </c>
      <c r="AU254">
        <v>43</v>
      </c>
      <c r="AV254">
        <v>1.95</v>
      </c>
      <c r="AW254">
        <v>1.89</v>
      </c>
      <c r="AX254">
        <v>3.65</v>
      </c>
      <c r="AY254">
        <v>3.39</v>
      </c>
      <c r="AZ254">
        <v>4.75</v>
      </c>
      <c r="BA254">
        <v>4.22</v>
      </c>
      <c r="BB254">
        <v>40</v>
      </c>
      <c r="BC254">
        <v>2.14</v>
      </c>
      <c r="BD254">
        <v>2.04</v>
      </c>
      <c r="BE254">
        <v>1.9</v>
      </c>
      <c r="BF254">
        <v>1.76</v>
      </c>
      <c r="BG254">
        <v>22</v>
      </c>
      <c r="BH254">
        <v>-0.5</v>
      </c>
      <c r="BI254">
        <v>1.95</v>
      </c>
      <c r="BJ254">
        <v>1.9</v>
      </c>
      <c r="BK254">
        <v>2</v>
      </c>
      <c r="BL254">
        <v>1.96</v>
      </c>
      <c r="BM254">
        <v>2.08</v>
      </c>
      <c r="BN254">
        <v>3.28</v>
      </c>
      <c r="BO254">
        <v>4.26</v>
      </c>
    </row>
    <row r="255" spans="1:67">
      <c r="A255" t="s">
        <v>63</v>
      </c>
      <c r="B255" s="77">
        <v>41700</v>
      </c>
      <c r="C255" t="s">
        <v>74</v>
      </c>
      <c r="D255" t="s">
        <v>86</v>
      </c>
      <c r="E255">
        <v>2</v>
      </c>
      <c r="F255">
        <v>0</v>
      </c>
      <c r="G255" t="s">
        <v>70</v>
      </c>
      <c r="H255">
        <v>1</v>
      </c>
      <c r="I255">
        <v>0</v>
      </c>
      <c r="J255" t="s">
        <v>70</v>
      </c>
      <c r="K255">
        <v>17</v>
      </c>
      <c r="L255">
        <v>10</v>
      </c>
      <c r="M255">
        <v>7</v>
      </c>
      <c r="N255">
        <v>2</v>
      </c>
      <c r="O255">
        <v>28</v>
      </c>
      <c r="P255">
        <v>20</v>
      </c>
      <c r="Q255">
        <v>4</v>
      </c>
      <c r="R255">
        <v>0</v>
      </c>
      <c r="S255">
        <v>3</v>
      </c>
      <c r="T255">
        <v>0</v>
      </c>
      <c r="U255">
        <v>0</v>
      </c>
      <c r="V255">
        <v>1</v>
      </c>
      <c r="W255">
        <v>2.1</v>
      </c>
      <c r="X255">
        <v>3.25</v>
      </c>
      <c r="Y255">
        <v>3.6</v>
      </c>
      <c r="Z255">
        <v>2.0499999999999998</v>
      </c>
      <c r="AA255">
        <v>3.3</v>
      </c>
      <c r="AB255">
        <v>4</v>
      </c>
      <c r="AC255">
        <v>1.95</v>
      </c>
      <c r="AD255">
        <v>3.3</v>
      </c>
      <c r="AE255">
        <v>3.8</v>
      </c>
      <c r="AF255">
        <v>2.1</v>
      </c>
      <c r="AG255">
        <v>3.3</v>
      </c>
      <c r="AH255">
        <v>3.5</v>
      </c>
      <c r="AI255">
        <v>2.1</v>
      </c>
      <c r="AJ255">
        <v>3.33</v>
      </c>
      <c r="AK255">
        <v>4.09</v>
      </c>
      <c r="AL255">
        <v>2.1</v>
      </c>
      <c r="AM255">
        <v>3.1</v>
      </c>
      <c r="AN255">
        <v>3.8</v>
      </c>
      <c r="AO255">
        <v>2.0499999999999998</v>
      </c>
      <c r="AP255">
        <v>3.13</v>
      </c>
      <c r="AQ255">
        <v>3.6</v>
      </c>
      <c r="AR255">
        <v>2.1</v>
      </c>
      <c r="AS255">
        <v>3.3</v>
      </c>
      <c r="AT255">
        <v>4.0999999999999996</v>
      </c>
      <c r="AU255">
        <v>41</v>
      </c>
      <c r="AV255">
        <v>2.12</v>
      </c>
      <c r="AW255">
        <v>2.0699999999999998</v>
      </c>
      <c r="AX255">
        <v>3.4</v>
      </c>
      <c r="AY255">
        <v>3.25</v>
      </c>
      <c r="AZ255">
        <v>4.1500000000000004</v>
      </c>
      <c r="BA255">
        <v>3.75</v>
      </c>
      <c r="BB255">
        <v>38</v>
      </c>
      <c r="BC255">
        <v>2.2400000000000002</v>
      </c>
      <c r="BD255">
        <v>2.12</v>
      </c>
      <c r="BE255">
        <v>1.8</v>
      </c>
      <c r="BF255">
        <v>1.7</v>
      </c>
      <c r="BG255">
        <v>20</v>
      </c>
      <c r="BH255">
        <v>-0.5</v>
      </c>
      <c r="BI255">
        <v>2.11</v>
      </c>
      <c r="BJ255">
        <v>2.08</v>
      </c>
      <c r="BK255">
        <v>1.84</v>
      </c>
      <c r="BL255">
        <v>1.8</v>
      </c>
      <c r="BM255">
        <v>2.21</v>
      </c>
      <c r="BN255">
        <v>3.27</v>
      </c>
      <c r="BO255">
        <v>3.82</v>
      </c>
    </row>
    <row r="256" spans="1:67">
      <c r="A256" t="s">
        <v>63</v>
      </c>
      <c r="B256" s="77">
        <v>41700</v>
      </c>
      <c r="C256" t="s">
        <v>77</v>
      </c>
      <c r="D256" t="s">
        <v>79</v>
      </c>
      <c r="E256">
        <v>1</v>
      </c>
      <c r="F256">
        <v>1</v>
      </c>
      <c r="G256" t="s">
        <v>67</v>
      </c>
      <c r="H256">
        <v>1</v>
      </c>
      <c r="I256">
        <v>1</v>
      </c>
      <c r="J256" t="s">
        <v>67</v>
      </c>
      <c r="K256">
        <v>10</v>
      </c>
      <c r="L256">
        <v>16</v>
      </c>
      <c r="M256">
        <v>4</v>
      </c>
      <c r="N256">
        <v>7</v>
      </c>
      <c r="O256">
        <v>20</v>
      </c>
      <c r="P256">
        <v>10</v>
      </c>
      <c r="Q256">
        <v>4</v>
      </c>
      <c r="R256">
        <v>4</v>
      </c>
      <c r="S256">
        <v>2</v>
      </c>
      <c r="T256">
        <v>2</v>
      </c>
      <c r="U256">
        <v>0</v>
      </c>
      <c r="V256">
        <v>0</v>
      </c>
      <c r="W256">
        <v>6</v>
      </c>
      <c r="X256">
        <v>4</v>
      </c>
      <c r="Y256">
        <v>1.53</v>
      </c>
      <c r="Z256">
        <v>6</v>
      </c>
      <c r="AA256">
        <v>3.9</v>
      </c>
      <c r="AB256">
        <v>1.55</v>
      </c>
      <c r="AC256">
        <v>5.6</v>
      </c>
      <c r="AD256">
        <v>3.9</v>
      </c>
      <c r="AE256">
        <v>1.55</v>
      </c>
      <c r="AF256">
        <v>6</v>
      </c>
      <c r="AG256">
        <v>4</v>
      </c>
      <c r="AH256">
        <v>1.57</v>
      </c>
      <c r="AI256">
        <v>7.06</v>
      </c>
      <c r="AJ256">
        <v>4.16</v>
      </c>
      <c r="AK256">
        <v>1.57</v>
      </c>
      <c r="AL256">
        <v>6.5</v>
      </c>
      <c r="AM256">
        <v>3.5</v>
      </c>
      <c r="AN256">
        <v>1.6</v>
      </c>
      <c r="AO256">
        <v>5.75</v>
      </c>
      <c r="AP256">
        <v>3.8</v>
      </c>
      <c r="AQ256">
        <v>1.53</v>
      </c>
      <c r="AR256">
        <v>6.5</v>
      </c>
      <c r="AS256">
        <v>4.0999999999999996</v>
      </c>
      <c r="AT256">
        <v>1.6</v>
      </c>
      <c r="AU256">
        <v>43</v>
      </c>
      <c r="AV256">
        <v>7.2</v>
      </c>
      <c r="AW256">
        <v>6.22</v>
      </c>
      <c r="AX256">
        <v>4.16</v>
      </c>
      <c r="AY256">
        <v>3.91</v>
      </c>
      <c r="AZ256">
        <v>1.61</v>
      </c>
      <c r="BA256">
        <v>1.56</v>
      </c>
      <c r="BB256">
        <v>40</v>
      </c>
      <c r="BC256">
        <v>1.83</v>
      </c>
      <c r="BD256">
        <v>1.74</v>
      </c>
      <c r="BE256">
        <v>2.2400000000000002</v>
      </c>
      <c r="BF256">
        <v>2.06</v>
      </c>
      <c r="BG256">
        <v>25</v>
      </c>
      <c r="BH256">
        <v>1</v>
      </c>
      <c r="BI256">
        <v>1.94</v>
      </c>
      <c r="BJ256">
        <v>1.86</v>
      </c>
      <c r="BK256">
        <v>2.0699999999999998</v>
      </c>
      <c r="BL256">
        <v>2</v>
      </c>
      <c r="BM256">
        <v>5.34</v>
      </c>
      <c r="BN256">
        <v>3.89</v>
      </c>
      <c r="BO256">
        <v>1.74</v>
      </c>
    </row>
    <row r="257" spans="1:67">
      <c r="A257" t="s">
        <v>63</v>
      </c>
      <c r="B257" s="77">
        <v>41700</v>
      </c>
      <c r="C257" t="s">
        <v>69</v>
      </c>
      <c r="D257" t="s">
        <v>65</v>
      </c>
      <c r="E257">
        <v>0</v>
      </c>
      <c r="F257">
        <v>2</v>
      </c>
      <c r="G257" t="s">
        <v>66</v>
      </c>
      <c r="H257">
        <v>0</v>
      </c>
      <c r="I257">
        <v>1</v>
      </c>
      <c r="J257" t="s">
        <v>66</v>
      </c>
      <c r="K257">
        <v>22</v>
      </c>
      <c r="L257">
        <v>10</v>
      </c>
      <c r="M257">
        <v>9</v>
      </c>
      <c r="N257">
        <v>5</v>
      </c>
      <c r="O257">
        <v>15</v>
      </c>
      <c r="P257">
        <v>7</v>
      </c>
      <c r="Q257">
        <v>7</v>
      </c>
      <c r="R257">
        <v>1</v>
      </c>
      <c r="S257">
        <v>1</v>
      </c>
      <c r="T257">
        <v>2</v>
      </c>
      <c r="U257">
        <v>0</v>
      </c>
      <c r="V257">
        <v>0</v>
      </c>
      <c r="W257">
        <v>3.6</v>
      </c>
      <c r="X257">
        <v>3.5</v>
      </c>
      <c r="Y257">
        <v>2</v>
      </c>
      <c r="Z257">
        <v>3.6</v>
      </c>
      <c r="AA257">
        <v>3.5</v>
      </c>
      <c r="AB257">
        <v>2.1</v>
      </c>
      <c r="AC257">
        <v>3.2</v>
      </c>
      <c r="AD257">
        <v>3.2</v>
      </c>
      <c r="AE257">
        <v>2.2000000000000002</v>
      </c>
      <c r="AF257">
        <v>3.4</v>
      </c>
      <c r="AG257">
        <v>3.4</v>
      </c>
      <c r="AH257">
        <v>2.1</v>
      </c>
      <c r="AI257">
        <v>4.08</v>
      </c>
      <c r="AJ257">
        <v>3.53</v>
      </c>
      <c r="AK257">
        <v>2.0299999999999998</v>
      </c>
      <c r="AL257">
        <v>4</v>
      </c>
      <c r="AM257">
        <v>3</v>
      </c>
      <c r="AN257">
        <v>2.1</v>
      </c>
      <c r="AO257">
        <v>3.6</v>
      </c>
      <c r="AP257">
        <v>3.3</v>
      </c>
      <c r="AQ257">
        <v>2</v>
      </c>
      <c r="AR257">
        <v>4.0999999999999996</v>
      </c>
      <c r="AS257">
        <v>3.4</v>
      </c>
      <c r="AT257">
        <v>2.0499999999999998</v>
      </c>
      <c r="AU257">
        <v>43</v>
      </c>
      <c r="AV257">
        <v>4.0999999999999996</v>
      </c>
      <c r="AW257">
        <v>3.69</v>
      </c>
      <c r="AX257">
        <v>3.55</v>
      </c>
      <c r="AY257">
        <v>3.35</v>
      </c>
      <c r="AZ257">
        <v>2.2000000000000002</v>
      </c>
      <c r="BA257">
        <v>2.04</v>
      </c>
      <c r="BB257">
        <v>41</v>
      </c>
      <c r="BC257">
        <v>1.98</v>
      </c>
      <c r="BD257">
        <v>1.88</v>
      </c>
      <c r="BE257">
        <v>2.08</v>
      </c>
      <c r="BF257">
        <v>1.9</v>
      </c>
      <c r="BG257">
        <v>22</v>
      </c>
      <c r="BH257">
        <v>0.5</v>
      </c>
      <c r="BI257">
        <v>1.9</v>
      </c>
      <c r="BJ257">
        <v>1.84</v>
      </c>
      <c r="BK257">
        <v>2.08</v>
      </c>
      <c r="BL257">
        <v>2.02</v>
      </c>
      <c r="BM257">
        <v>3.98</v>
      </c>
      <c r="BN257">
        <v>3.36</v>
      </c>
      <c r="BO257">
        <v>2.13</v>
      </c>
    </row>
    <row r="258" spans="1:67">
      <c r="A258" t="s">
        <v>63</v>
      </c>
      <c r="B258" s="77">
        <v>41700</v>
      </c>
      <c r="C258" t="s">
        <v>84</v>
      </c>
      <c r="D258" t="s">
        <v>81</v>
      </c>
      <c r="E258">
        <v>0</v>
      </c>
      <c r="F258">
        <v>1</v>
      </c>
      <c r="G258" t="s">
        <v>66</v>
      </c>
      <c r="H258">
        <v>0</v>
      </c>
      <c r="I258">
        <v>1</v>
      </c>
      <c r="J258" t="s">
        <v>66</v>
      </c>
      <c r="K258">
        <v>8</v>
      </c>
      <c r="L258">
        <v>16</v>
      </c>
      <c r="M258">
        <v>3</v>
      </c>
      <c r="N258">
        <v>6</v>
      </c>
      <c r="O258">
        <v>22</v>
      </c>
      <c r="P258">
        <v>23</v>
      </c>
      <c r="Q258">
        <v>6</v>
      </c>
      <c r="R258">
        <v>6</v>
      </c>
      <c r="S258">
        <v>2</v>
      </c>
      <c r="T258">
        <v>1</v>
      </c>
      <c r="U258">
        <v>1</v>
      </c>
      <c r="V258">
        <v>0</v>
      </c>
      <c r="W258">
        <v>3.5</v>
      </c>
      <c r="X258">
        <v>3.4</v>
      </c>
      <c r="Y258">
        <v>2.0499999999999998</v>
      </c>
      <c r="Z258">
        <v>3.3</v>
      </c>
      <c r="AA258">
        <v>3.4</v>
      </c>
      <c r="AB258">
        <v>2.15</v>
      </c>
      <c r="AC258">
        <v>3.6</v>
      </c>
      <c r="AD258">
        <v>3.3</v>
      </c>
      <c r="AE258">
        <v>2</v>
      </c>
      <c r="AF258">
        <v>3.5</v>
      </c>
      <c r="AG258">
        <v>3.3</v>
      </c>
      <c r="AH258">
        <v>2.1</v>
      </c>
      <c r="AI258">
        <v>3.87</v>
      </c>
      <c r="AJ258">
        <v>3.37</v>
      </c>
      <c r="AK258">
        <v>2.15</v>
      </c>
      <c r="AL258">
        <v>3.5</v>
      </c>
      <c r="AM258">
        <v>3.1</v>
      </c>
      <c r="AN258">
        <v>2.2000000000000002</v>
      </c>
      <c r="AO258">
        <v>3.4</v>
      </c>
      <c r="AP258">
        <v>3.2</v>
      </c>
      <c r="AQ258">
        <v>2.1</v>
      </c>
      <c r="AR258">
        <v>3.4</v>
      </c>
      <c r="AS258">
        <v>3.4</v>
      </c>
      <c r="AT258">
        <v>2.15</v>
      </c>
      <c r="AU258">
        <v>43</v>
      </c>
      <c r="AV258">
        <v>3.87</v>
      </c>
      <c r="AW258">
        <v>3.47</v>
      </c>
      <c r="AX258">
        <v>3.44</v>
      </c>
      <c r="AY258">
        <v>3.29</v>
      </c>
      <c r="AZ258">
        <v>2.25</v>
      </c>
      <c r="BA258">
        <v>2.13</v>
      </c>
      <c r="BB258">
        <v>41</v>
      </c>
      <c r="BC258">
        <v>2.02</v>
      </c>
      <c r="BD258">
        <v>1.95</v>
      </c>
      <c r="BE258">
        <v>1.92</v>
      </c>
      <c r="BF258">
        <v>1.84</v>
      </c>
      <c r="BG258">
        <v>20</v>
      </c>
      <c r="BH258">
        <v>0.5</v>
      </c>
      <c r="BI258">
        <v>1.81</v>
      </c>
      <c r="BJ258">
        <v>1.75</v>
      </c>
      <c r="BK258">
        <v>2.16</v>
      </c>
      <c r="BL258">
        <v>2.11</v>
      </c>
      <c r="BM258">
        <v>3.9</v>
      </c>
      <c r="BN258">
        <v>3.51</v>
      </c>
      <c r="BO258">
        <v>2.08</v>
      </c>
    </row>
    <row r="259" spans="1:67">
      <c r="A259" t="s">
        <v>63</v>
      </c>
      <c r="B259" s="77">
        <v>41700</v>
      </c>
      <c r="C259" t="s">
        <v>83</v>
      </c>
      <c r="D259" t="s">
        <v>64</v>
      </c>
      <c r="E259">
        <v>0</v>
      </c>
      <c r="F259">
        <v>2</v>
      </c>
      <c r="G259" t="s">
        <v>66</v>
      </c>
      <c r="H259">
        <v>0</v>
      </c>
      <c r="I259">
        <v>1</v>
      </c>
      <c r="J259" t="s">
        <v>66</v>
      </c>
      <c r="K259">
        <v>21</v>
      </c>
      <c r="L259">
        <v>11</v>
      </c>
      <c r="M259">
        <v>6</v>
      </c>
      <c r="N259">
        <v>4</v>
      </c>
      <c r="O259">
        <v>13</v>
      </c>
      <c r="P259">
        <v>20</v>
      </c>
      <c r="Q259">
        <v>12</v>
      </c>
      <c r="R259">
        <v>4</v>
      </c>
      <c r="S259">
        <v>3</v>
      </c>
      <c r="T259">
        <v>3</v>
      </c>
      <c r="U259">
        <v>0</v>
      </c>
      <c r="V259">
        <v>0</v>
      </c>
      <c r="W259">
        <v>1.83</v>
      </c>
      <c r="X259">
        <v>3.25</v>
      </c>
      <c r="Y259">
        <v>4.75</v>
      </c>
      <c r="Z259">
        <v>1.91</v>
      </c>
      <c r="AA259">
        <v>3.25</v>
      </c>
      <c r="AB259">
        <v>4.33</v>
      </c>
      <c r="AC259">
        <v>1.95</v>
      </c>
      <c r="AD259">
        <v>3.3</v>
      </c>
      <c r="AE259">
        <v>3.8</v>
      </c>
      <c r="AF259">
        <v>1.91</v>
      </c>
      <c r="AG259">
        <v>3.4</v>
      </c>
      <c r="AH259">
        <v>4</v>
      </c>
      <c r="AI259">
        <v>1.91</v>
      </c>
      <c r="AJ259">
        <v>3.43</v>
      </c>
      <c r="AK259">
        <v>4.87</v>
      </c>
      <c r="AL259">
        <v>1.95</v>
      </c>
      <c r="AM259">
        <v>3.1</v>
      </c>
      <c r="AN259">
        <v>4.33</v>
      </c>
      <c r="AO259">
        <v>1.9</v>
      </c>
      <c r="AP259">
        <v>3.25</v>
      </c>
      <c r="AQ259">
        <v>4.33</v>
      </c>
      <c r="AR259">
        <v>1.95</v>
      </c>
      <c r="AS259">
        <v>3.3</v>
      </c>
      <c r="AT259">
        <v>4.75</v>
      </c>
      <c r="AU259">
        <v>42</v>
      </c>
      <c r="AV259">
        <v>1.97</v>
      </c>
      <c r="AW259">
        <v>1.9</v>
      </c>
      <c r="AX259">
        <v>3.45</v>
      </c>
      <c r="AY259">
        <v>3.31</v>
      </c>
      <c r="AZ259">
        <v>4.87</v>
      </c>
      <c r="BA259">
        <v>4.34</v>
      </c>
      <c r="BB259">
        <v>38</v>
      </c>
      <c r="BC259">
        <v>2.25</v>
      </c>
      <c r="BD259">
        <v>2.16</v>
      </c>
      <c r="BE259">
        <v>1.77</v>
      </c>
      <c r="BF259">
        <v>1.68</v>
      </c>
      <c r="BG259">
        <v>21</v>
      </c>
      <c r="BH259">
        <v>-0.5</v>
      </c>
      <c r="BI259">
        <v>1.93</v>
      </c>
      <c r="BJ259">
        <v>1.89</v>
      </c>
      <c r="BK259">
        <v>2.0299999999999998</v>
      </c>
      <c r="BL259">
        <v>1.97</v>
      </c>
      <c r="BM259">
        <v>1.98</v>
      </c>
      <c r="BN259">
        <v>3.42</v>
      </c>
      <c r="BO259">
        <v>4.5</v>
      </c>
    </row>
    <row r="260" spans="1:67">
      <c r="A260" t="s">
        <v>63</v>
      </c>
      <c r="B260" s="77">
        <v>41700</v>
      </c>
      <c r="C260" t="s">
        <v>68</v>
      </c>
      <c r="D260" t="s">
        <v>80</v>
      </c>
      <c r="E260">
        <v>0</v>
      </c>
      <c r="F260">
        <v>0</v>
      </c>
      <c r="G260" t="s">
        <v>67</v>
      </c>
      <c r="H260">
        <v>0</v>
      </c>
      <c r="I260">
        <v>0</v>
      </c>
      <c r="J260" t="s">
        <v>67</v>
      </c>
      <c r="K260">
        <v>9</v>
      </c>
      <c r="L260">
        <v>14</v>
      </c>
      <c r="M260">
        <v>2</v>
      </c>
      <c r="N260">
        <v>6</v>
      </c>
      <c r="O260">
        <v>18</v>
      </c>
      <c r="P260">
        <v>15</v>
      </c>
      <c r="Q260">
        <v>8</v>
      </c>
      <c r="R260">
        <v>3</v>
      </c>
      <c r="S260">
        <v>1</v>
      </c>
      <c r="T260">
        <v>5</v>
      </c>
      <c r="U260">
        <v>0</v>
      </c>
      <c r="V260">
        <v>1</v>
      </c>
      <c r="W260">
        <v>1.91</v>
      </c>
      <c r="X260">
        <v>3.5</v>
      </c>
      <c r="Y260">
        <v>4</v>
      </c>
      <c r="Z260">
        <v>1.85</v>
      </c>
      <c r="AA260">
        <v>3.4</v>
      </c>
      <c r="AB260">
        <v>4.33</v>
      </c>
      <c r="AC260">
        <v>1.9</v>
      </c>
      <c r="AD260">
        <v>3.45</v>
      </c>
      <c r="AE260">
        <v>3.8</v>
      </c>
      <c r="AF260">
        <v>1.95</v>
      </c>
      <c r="AG260">
        <v>3.5</v>
      </c>
      <c r="AH260">
        <v>3.8</v>
      </c>
      <c r="AI260">
        <v>2.02</v>
      </c>
      <c r="AJ260">
        <v>3.38</v>
      </c>
      <c r="AK260">
        <v>4.34</v>
      </c>
      <c r="AL260">
        <v>2</v>
      </c>
      <c r="AM260">
        <v>3.2</v>
      </c>
      <c r="AN260">
        <v>4</v>
      </c>
      <c r="AO260">
        <v>1.95</v>
      </c>
      <c r="AP260">
        <v>3.3</v>
      </c>
      <c r="AQ260">
        <v>3.8</v>
      </c>
      <c r="AR260">
        <v>2</v>
      </c>
      <c r="AS260">
        <v>3.4</v>
      </c>
      <c r="AT260">
        <v>4.33</v>
      </c>
      <c r="AU260">
        <v>43</v>
      </c>
      <c r="AV260">
        <v>2.02</v>
      </c>
      <c r="AW260">
        <v>1.96</v>
      </c>
      <c r="AX260">
        <v>3.52</v>
      </c>
      <c r="AY260">
        <v>3.37</v>
      </c>
      <c r="AZ260">
        <v>4.5999999999999996</v>
      </c>
      <c r="BA260">
        <v>3.98</v>
      </c>
      <c r="BB260">
        <v>41</v>
      </c>
      <c r="BC260">
        <v>2.04</v>
      </c>
      <c r="BD260">
        <v>1.93</v>
      </c>
      <c r="BE260">
        <v>1.97</v>
      </c>
      <c r="BF260">
        <v>1.86</v>
      </c>
      <c r="BG260">
        <v>22</v>
      </c>
      <c r="BH260">
        <v>-0.5</v>
      </c>
      <c r="BI260">
        <v>2.0299999999999998</v>
      </c>
      <c r="BJ260">
        <v>1.97</v>
      </c>
      <c r="BK260">
        <v>1.94</v>
      </c>
      <c r="BL260">
        <v>1.9</v>
      </c>
      <c r="BM260">
        <v>2.0099999999999998</v>
      </c>
      <c r="BN260">
        <v>3.49</v>
      </c>
      <c r="BO260">
        <v>4.22</v>
      </c>
    </row>
    <row r="261" spans="1:67">
      <c r="A261" t="s">
        <v>63</v>
      </c>
      <c r="B261" s="77">
        <v>41706</v>
      </c>
      <c r="C261" t="s">
        <v>86</v>
      </c>
      <c r="D261" t="s">
        <v>71</v>
      </c>
      <c r="E261">
        <v>1</v>
      </c>
      <c r="F261">
        <v>1</v>
      </c>
      <c r="G261" t="s">
        <v>67</v>
      </c>
      <c r="H261">
        <v>0</v>
      </c>
      <c r="I261">
        <v>0</v>
      </c>
      <c r="J261" t="s">
        <v>67</v>
      </c>
      <c r="K261">
        <v>18</v>
      </c>
      <c r="L261">
        <v>9</v>
      </c>
      <c r="M261">
        <v>3</v>
      </c>
      <c r="N261">
        <v>3</v>
      </c>
      <c r="O261">
        <v>19</v>
      </c>
      <c r="P261">
        <v>18</v>
      </c>
      <c r="Q261">
        <v>12</v>
      </c>
      <c r="R261">
        <v>2</v>
      </c>
      <c r="S261">
        <v>3</v>
      </c>
      <c r="T261">
        <v>2</v>
      </c>
      <c r="U261">
        <v>0</v>
      </c>
      <c r="V261">
        <v>1</v>
      </c>
      <c r="W261">
        <v>2.2000000000000002</v>
      </c>
      <c r="X261">
        <v>3.25</v>
      </c>
      <c r="Y261">
        <v>3.3</v>
      </c>
      <c r="Z261">
        <v>2.2000000000000002</v>
      </c>
      <c r="AA261">
        <v>3.2</v>
      </c>
      <c r="AB261">
        <v>3.4</v>
      </c>
      <c r="AC261">
        <v>2.2000000000000002</v>
      </c>
      <c r="AD261">
        <v>3.2</v>
      </c>
      <c r="AE261">
        <v>3.2</v>
      </c>
      <c r="AF261">
        <v>2.2000000000000002</v>
      </c>
      <c r="AG261">
        <v>3.25</v>
      </c>
      <c r="AH261">
        <v>3.3</v>
      </c>
      <c r="AI261">
        <v>2.2599999999999998</v>
      </c>
      <c r="AJ261">
        <v>3.21</v>
      </c>
      <c r="AK261">
        <v>3.73</v>
      </c>
      <c r="AL261">
        <v>2.2999999999999998</v>
      </c>
      <c r="AM261">
        <v>3.2</v>
      </c>
      <c r="AN261">
        <v>3.2</v>
      </c>
      <c r="AO261">
        <v>2.2000000000000002</v>
      </c>
      <c r="AP261">
        <v>3.13</v>
      </c>
      <c r="AQ261">
        <v>3.3</v>
      </c>
      <c r="AR261">
        <v>2.2999999999999998</v>
      </c>
      <c r="AS261">
        <v>3.12</v>
      </c>
      <c r="AT261">
        <v>3.7</v>
      </c>
      <c r="AU261">
        <v>49</v>
      </c>
      <c r="AV261">
        <v>2.3199999999999998</v>
      </c>
      <c r="AW261">
        <v>2.23</v>
      </c>
      <c r="AX261">
        <v>3.4</v>
      </c>
      <c r="AY261">
        <v>3.2</v>
      </c>
      <c r="AZ261">
        <v>3.7</v>
      </c>
      <c r="BA261">
        <v>3.36</v>
      </c>
      <c r="BB261">
        <v>45</v>
      </c>
      <c r="BC261">
        <v>2.39</v>
      </c>
      <c r="BD261">
        <v>2.25</v>
      </c>
      <c r="BE261">
        <v>1.7</v>
      </c>
      <c r="BF261">
        <v>1.62</v>
      </c>
      <c r="BG261">
        <v>24</v>
      </c>
      <c r="BH261">
        <v>-0.25</v>
      </c>
      <c r="BI261">
        <v>1.96</v>
      </c>
      <c r="BJ261">
        <v>1.91</v>
      </c>
      <c r="BK261">
        <v>2.02</v>
      </c>
      <c r="BL261">
        <v>1.95</v>
      </c>
      <c r="BM261">
        <v>2.2799999999999998</v>
      </c>
      <c r="BN261">
        <v>3.21</v>
      </c>
      <c r="BO261">
        <v>3.7</v>
      </c>
    </row>
    <row r="262" spans="1:67">
      <c r="A262" t="s">
        <v>63</v>
      </c>
      <c r="B262" s="77">
        <v>41706</v>
      </c>
      <c r="C262" t="s">
        <v>76</v>
      </c>
      <c r="D262" t="s">
        <v>69</v>
      </c>
      <c r="E262">
        <v>1</v>
      </c>
      <c r="F262">
        <v>0</v>
      </c>
      <c r="G262" t="s">
        <v>70</v>
      </c>
      <c r="H262">
        <v>0</v>
      </c>
      <c r="I262">
        <v>0</v>
      </c>
      <c r="J262" t="s">
        <v>67</v>
      </c>
      <c r="K262">
        <v>14</v>
      </c>
      <c r="L262">
        <v>15</v>
      </c>
      <c r="M262">
        <v>3</v>
      </c>
      <c r="N262">
        <v>5</v>
      </c>
      <c r="O262">
        <v>13</v>
      </c>
      <c r="P262">
        <v>13</v>
      </c>
      <c r="Q262">
        <v>2</v>
      </c>
      <c r="R262">
        <v>8</v>
      </c>
      <c r="S262">
        <v>1</v>
      </c>
      <c r="T262">
        <v>3</v>
      </c>
      <c r="U262">
        <v>0</v>
      </c>
      <c r="V262">
        <v>0</v>
      </c>
      <c r="W262">
        <v>3</v>
      </c>
      <c r="X262">
        <v>3.25</v>
      </c>
      <c r="Y262">
        <v>2.38</v>
      </c>
      <c r="Z262">
        <v>2.95</v>
      </c>
      <c r="AA262">
        <v>3.3</v>
      </c>
      <c r="AB262">
        <v>2.35</v>
      </c>
      <c r="AC262">
        <v>2.85</v>
      </c>
      <c r="AD262">
        <v>3.2</v>
      </c>
      <c r="AE262">
        <v>2.4</v>
      </c>
      <c r="AF262">
        <v>3.1</v>
      </c>
      <c r="AG262">
        <v>3.3</v>
      </c>
      <c r="AH262">
        <v>2.2999999999999998</v>
      </c>
      <c r="AI262">
        <v>3.1</v>
      </c>
      <c r="AJ262">
        <v>3.28</v>
      </c>
      <c r="AK262">
        <v>2.54</v>
      </c>
      <c r="AL262">
        <v>2.9</v>
      </c>
      <c r="AM262">
        <v>3.1</v>
      </c>
      <c r="AN262">
        <v>2.5</v>
      </c>
      <c r="AO262">
        <v>2.88</v>
      </c>
      <c r="AP262">
        <v>3.13</v>
      </c>
      <c r="AQ262">
        <v>2.4</v>
      </c>
      <c r="AR262">
        <v>3.1</v>
      </c>
      <c r="AS262">
        <v>3.2</v>
      </c>
      <c r="AT262">
        <v>2.5499999999999998</v>
      </c>
      <c r="AU262">
        <v>49</v>
      </c>
      <c r="AV262">
        <v>3.15</v>
      </c>
      <c r="AW262">
        <v>2.93</v>
      </c>
      <c r="AX262">
        <v>3.35</v>
      </c>
      <c r="AY262">
        <v>3.22</v>
      </c>
      <c r="AZ262">
        <v>2.6</v>
      </c>
      <c r="BA262">
        <v>2.4700000000000002</v>
      </c>
      <c r="BB262">
        <v>45</v>
      </c>
      <c r="BC262">
        <v>2.1</v>
      </c>
      <c r="BD262">
        <v>2</v>
      </c>
      <c r="BE262">
        <v>1.9</v>
      </c>
      <c r="BF262">
        <v>1.78</v>
      </c>
      <c r="BG262">
        <v>24</v>
      </c>
      <c r="BH262">
        <v>0.25</v>
      </c>
      <c r="BI262">
        <v>1.81</v>
      </c>
      <c r="BJ262">
        <v>1.76</v>
      </c>
      <c r="BK262">
        <v>2.1800000000000002</v>
      </c>
      <c r="BL262">
        <v>2.11</v>
      </c>
      <c r="BM262">
        <v>2.94</v>
      </c>
      <c r="BN262">
        <v>3.29</v>
      </c>
      <c r="BO262">
        <v>2.65</v>
      </c>
    </row>
    <row r="263" spans="1:67">
      <c r="A263" t="s">
        <v>63</v>
      </c>
      <c r="B263" s="77">
        <v>41707</v>
      </c>
      <c r="C263" t="s">
        <v>80</v>
      </c>
      <c r="D263" t="s">
        <v>84</v>
      </c>
      <c r="E263">
        <v>0</v>
      </c>
      <c r="F263">
        <v>0</v>
      </c>
      <c r="G263" t="s">
        <v>67</v>
      </c>
      <c r="H263">
        <v>0</v>
      </c>
      <c r="I263">
        <v>0</v>
      </c>
      <c r="J263" t="s">
        <v>67</v>
      </c>
      <c r="K263">
        <v>9</v>
      </c>
      <c r="L263">
        <v>12</v>
      </c>
      <c r="M263">
        <v>4</v>
      </c>
      <c r="N263">
        <v>3</v>
      </c>
      <c r="O263">
        <v>23</v>
      </c>
      <c r="P263">
        <v>19</v>
      </c>
      <c r="Q263">
        <v>1</v>
      </c>
      <c r="R263">
        <v>2</v>
      </c>
      <c r="S263">
        <v>1</v>
      </c>
      <c r="T263">
        <v>2</v>
      </c>
      <c r="U263">
        <v>0</v>
      </c>
      <c r="V263">
        <v>0</v>
      </c>
      <c r="W263">
        <v>1.91</v>
      </c>
      <c r="X263">
        <v>3.4</v>
      </c>
      <c r="Y263">
        <v>4</v>
      </c>
      <c r="Z263">
        <v>1.9</v>
      </c>
      <c r="AA263">
        <v>3.3</v>
      </c>
      <c r="AB263">
        <v>4.2</v>
      </c>
      <c r="AC263">
        <v>1.85</v>
      </c>
      <c r="AD263">
        <v>3.45</v>
      </c>
      <c r="AE263">
        <v>4</v>
      </c>
      <c r="AF263">
        <v>1.95</v>
      </c>
      <c r="AG263">
        <v>3.4</v>
      </c>
      <c r="AH263">
        <v>3.8</v>
      </c>
      <c r="AI263">
        <v>2.0099999999999998</v>
      </c>
      <c r="AJ263">
        <v>3.22</v>
      </c>
      <c r="AK263">
        <v>4.75</v>
      </c>
      <c r="AL263">
        <v>2</v>
      </c>
      <c r="AM263">
        <v>3.2</v>
      </c>
      <c r="AN263">
        <v>4</v>
      </c>
      <c r="AO263">
        <v>1.91</v>
      </c>
      <c r="AP263">
        <v>3.3</v>
      </c>
      <c r="AQ263">
        <v>3.8</v>
      </c>
      <c r="AR263">
        <v>2</v>
      </c>
      <c r="AS263">
        <v>3.4</v>
      </c>
      <c r="AT263">
        <v>4.33</v>
      </c>
      <c r="AU263">
        <v>49</v>
      </c>
      <c r="AV263">
        <v>2.0099999999999998</v>
      </c>
      <c r="AW263">
        <v>1.95</v>
      </c>
      <c r="AX263">
        <v>3.5</v>
      </c>
      <c r="AY263">
        <v>3.32</v>
      </c>
      <c r="AZ263">
        <v>4.76</v>
      </c>
      <c r="BA263">
        <v>4.08</v>
      </c>
      <c r="BB263">
        <v>46</v>
      </c>
      <c r="BC263">
        <v>2.2799999999999998</v>
      </c>
      <c r="BD263">
        <v>2.13</v>
      </c>
      <c r="BE263">
        <v>1.77</v>
      </c>
      <c r="BF263">
        <v>1.69</v>
      </c>
      <c r="BG263">
        <v>25</v>
      </c>
      <c r="BH263">
        <v>-0.5</v>
      </c>
      <c r="BI263">
        <v>2.0099999999999998</v>
      </c>
      <c r="BJ263">
        <v>1.96</v>
      </c>
      <c r="BK263">
        <v>1.96</v>
      </c>
      <c r="BL263">
        <v>1.89</v>
      </c>
      <c r="BM263">
        <v>2.17</v>
      </c>
      <c r="BN263">
        <v>3.29</v>
      </c>
      <c r="BO263">
        <v>3.92</v>
      </c>
    </row>
    <row r="264" spans="1:67">
      <c r="A264" t="s">
        <v>63</v>
      </c>
      <c r="B264" s="77">
        <v>41707</v>
      </c>
      <c r="C264" t="s">
        <v>82</v>
      </c>
      <c r="D264" t="s">
        <v>74</v>
      </c>
      <c r="E264">
        <v>2</v>
      </c>
      <c r="F264">
        <v>1</v>
      </c>
      <c r="G264" t="s">
        <v>70</v>
      </c>
      <c r="H264">
        <v>1</v>
      </c>
      <c r="I264">
        <v>0</v>
      </c>
      <c r="J264" t="s">
        <v>70</v>
      </c>
      <c r="K264">
        <v>17</v>
      </c>
      <c r="L264">
        <v>19</v>
      </c>
      <c r="M264">
        <v>5</v>
      </c>
      <c r="N264">
        <v>6</v>
      </c>
      <c r="O264">
        <v>20</v>
      </c>
      <c r="P264">
        <v>21</v>
      </c>
      <c r="Q264">
        <v>6</v>
      </c>
      <c r="R264">
        <v>10</v>
      </c>
      <c r="S264">
        <v>1</v>
      </c>
      <c r="T264">
        <v>4</v>
      </c>
      <c r="U264">
        <v>0</v>
      </c>
      <c r="V264">
        <v>0</v>
      </c>
      <c r="W264">
        <v>2.1</v>
      </c>
      <c r="X264">
        <v>3.2</v>
      </c>
      <c r="Y264">
        <v>3.6</v>
      </c>
      <c r="Z264">
        <v>2.2000000000000002</v>
      </c>
      <c r="AA264">
        <v>3.1</v>
      </c>
      <c r="AB264">
        <v>3.5</v>
      </c>
      <c r="AC264">
        <v>2.2000000000000002</v>
      </c>
      <c r="AD264">
        <v>3.2</v>
      </c>
      <c r="AE264">
        <v>3.2</v>
      </c>
      <c r="AF264">
        <v>2.25</v>
      </c>
      <c r="AG264">
        <v>3.2</v>
      </c>
      <c r="AH264">
        <v>3.25</v>
      </c>
      <c r="AI264">
        <v>2.23</v>
      </c>
      <c r="AJ264">
        <v>3.16</v>
      </c>
      <c r="AK264">
        <v>3.91</v>
      </c>
      <c r="AL264">
        <v>2.2000000000000002</v>
      </c>
      <c r="AM264">
        <v>3</v>
      </c>
      <c r="AN264">
        <v>3.6</v>
      </c>
      <c r="AO264">
        <v>2.1</v>
      </c>
      <c r="AP264">
        <v>3.13</v>
      </c>
      <c r="AQ264">
        <v>3.4</v>
      </c>
      <c r="AR264">
        <v>2.25</v>
      </c>
      <c r="AS264">
        <v>3.12</v>
      </c>
      <c r="AT264">
        <v>3.75</v>
      </c>
      <c r="AU264">
        <v>49</v>
      </c>
      <c r="AV264">
        <v>2.25</v>
      </c>
      <c r="AW264">
        <v>2.1800000000000002</v>
      </c>
      <c r="AX264">
        <v>3.35</v>
      </c>
      <c r="AY264">
        <v>3.15</v>
      </c>
      <c r="AZ264">
        <v>4</v>
      </c>
      <c r="BA264">
        <v>3.54</v>
      </c>
      <c r="BB264">
        <v>40</v>
      </c>
      <c r="BC264">
        <v>2.59</v>
      </c>
      <c r="BD264">
        <v>2.39</v>
      </c>
      <c r="BE264">
        <v>1.65</v>
      </c>
      <c r="BF264">
        <v>1.54</v>
      </c>
      <c r="BG264">
        <v>24</v>
      </c>
      <c r="BH264">
        <v>-0.25</v>
      </c>
      <c r="BI264">
        <v>1.96</v>
      </c>
      <c r="BJ264">
        <v>1.88</v>
      </c>
      <c r="BK264">
        <v>2.06</v>
      </c>
      <c r="BL264">
        <v>1.98</v>
      </c>
      <c r="BM264">
        <v>2.2799999999999998</v>
      </c>
      <c r="BN264">
        <v>3.08</v>
      </c>
      <c r="BO264">
        <v>3.92</v>
      </c>
    </row>
    <row r="265" spans="1:67">
      <c r="A265" t="s">
        <v>63</v>
      </c>
      <c r="B265" s="77">
        <v>41707</v>
      </c>
      <c r="C265" t="s">
        <v>73</v>
      </c>
      <c r="D265" t="s">
        <v>83</v>
      </c>
      <c r="E265">
        <v>1</v>
      </c>
      <c r="F265">
        <v>0</v>
      </c>
      <c r="G265" t="s">
        <v>70</v>
      </c>
      <c r="H265">
        <v>1</v>
      </c>
      <c r="I265">
        <v>0</v>
      </c>
      <c r="J265" t="s">
        <v>70</v>
      </c>
      <c r="K265">
        <v>15</v>
      </c>
      <c r="L265">
        <v>6</v>
      </c>
      <c r="M265">
        <v>3</v>
      </c>
      <c r="N265">
        <v>2</v>
      </c>
      <c r="O265">
        <v>8</v>
      </c>
      <c r="P265">
        <v>15</v>
      </c>
      <c r="Q265">
        <v>2</v>
      </c>
      <c r="R265">
        <v>5</v>
      </c>
      <c r="S265">
        <v>0</v>
      </c>
      <c r="T265">
        <v>4</v>
      </c>
      <c r="U265">
        <v>0</v>
      </c>
      <c r="V265">
        <v>0</v>
      </c>
      <c r="W265">
        <v>1.57</v>
      </c>
      <c r="X265">
        <v>4</v>
      </c>
      <c r="Y265">
        <v>5.5</v>
      </c>
      <c r="Z265">
        <v>1.5</v>
      </c>
      <c r="AA265">
        <v>4.25</v>
      </c>
      <c r="AB265">
        <v>6</v>
      </c>
      <c r="AC265">
        <v>1.55</v>
      </c>
      <c r="AD265">
        <v>3.9</v>
      </c>
      <c r="AE265">
        <v>5.6</v>
      </c>
      <c r="AF265">
        <v>1.53</v>
      </c>
      <c r="AG265">
        <v>4</v>
      </c>
      <c r="AH265">
        <v>6</v>
      </c>
      <c r="AI265">
        <v>1.6</v>
      </c>
      <c r="AJ265">
        <v>4.25</v>
      </c>
      <c r="AK265">
        <v>6.19</v>
      </c>
      <c r="AL265">
        <v>1.62</v>
      </c>
      <c r="AM265">
        <v>3.6</v>
      </c>
      <c r="AN265">
        <v>6</v>
      </c>
      <c r="AO265">
        <v>1.57</v>
      </c>
      <c r="AP265">
        <v>3.8</v>
      </c>
      <c r="AQ265">
        <v>5.5</v>
      </c>
      <c r="AR265">
        <v>1.6</v>
      </c>
      <c r="AS265">
        <v>4.0999999999999996</v>
      </c>
      <c r="AT265">
        <v>6.5</v>
      </c>
      <c r="AU265">
        <v>49</v>
      </c>
      <c r="AV265">
        <v>1.65</v>
      </c>
      <c r="AW265">
        <v>1.58</v>
      </c>
      <c r="AX265">
        <v>4.3</v>
      </c>
      <c r="AY265">
        <v>3.95</v>
      </c>
      <c r="AZ265">
        <v>6.5</v>
      </c>
      <c r="BA265">
        <v>5.86</v>
      </c>
      <c r="BB265">
        <v>46</v>
      </c>
      <c r="BC265">
        <v>1.78</v>
      </c>
      <c r="BD265">
        <v>1.72</v>
      </c>
      <c r="BE265">
        <v>2.25</v>
      </c>
      <c r="BF265">
        <v>2.09</v>
      </c>
      <c r="BG265">
        <v>28</v>
      </c>
      <c r="BH265">
        <v>-1</v>
      </c>
      <c r="BI265">
        <v>2.09</v>
      </c>
      <c r="BJ265">
        <v>2.02</v>
      </c>
      <c r="BK265">
        <v>1.9</v>
      </c>
      <c r="BL265">
        <v>1.84</v>
      </c>
      <c r="BM265">
        <v>1.62</v>
      </c>
      <c r="BN265">
        <v>4.0999999999999996</v>
      </c>
      <c r="BO265">
        <v>6.31</v>
      </c>
    </row>
    <row r="266" spans="1:67">
      <c r="A266" t="s">
        <v>63</v>
      </c>
      <c r="B266" s="77">
        <v>41707</v>
      </c>
      <c r="C266" t="s">
        <v>65</v>
      </c>
      <c r="D266" t="s">
        <v>85</v>
      </c>
      <c r="E266">
        <v>1</v>
      </c>
      <c r="F266">
        <v>0</v>
      </c>
      <c r="G266" t="s">
        <v>70</v>
      </c>
      <c r="H266">
        <v>1</v>
      </c>
      <c r="I266">
        <v>0</v>
      </c>
      <c r="J266" t="s">
        <v>70</v>
      </c>
      <c r="K266">
        <v>13</v>
      </c>
      <c r="L266">
        <v>11</v>
      </c>
      <c r="M266">
        <v>2</v>
      </c>
      <c r="N266">
        <v>0</v>
      </c>
      <c r="O266">
        <v>13</v>
      </c>
      <c r="P266">
        <v>14</v>
      </c>
      <c r="Q266">
        <v>6</v>
      </c>
      <c r="R266">
        <v>2</v>
      </c>
      <c r="S266">
        <v>2</v>
      </c>
      <c r="T266">
        <v>4</v>
      </c>
      <c r="U266">
        <v>0</v>
      </c>
      <c r="V266">
        <v>0</v>
      </c>
      <c r="W266">
        <v>1.4</v>
      </c>
      <c r="X266">
        <v>4.5999999999999996</v>
      </c>
      <c r="Y266">
        <v>7.5</v>
      </c>
      <c r="Z266">
        <v>1.4</v>
      </c>
      <c r="AA266">
        <v>4.5</v>
      </c>
      <c r="AB266">
        <v>7.5</v>
      </c>
      <c r="AC266">
        <v>1.42</v>
      </c>
      <c r="AD266">
        <v>4.0999999999999996</v>
      </c>
      <c r="AE266">
        <v>7.4</v>
      </c>
      <c r="AF266">
        <v>1.4</v>
      </c>
      <c r="AG266">
        <v>4.5</v>
      </c>
      <c r="AH266">
        <v>7.5</v>
      </c>
      <c r="AI266">
        <v>1.41</v>
      </c>
      <c r="AJ266">
        <v>4.74</v>
      </c>
      <c r="AK266">
        <v>10.15</v>
      </c>
      <c r="AL266">
        <v>1.4</v>
      </c>
      <c r="AM266">
        <v>4.5</v>
      </c>
      <c r="AN266">
        <v>8</v>
      </c>
      <c r="AO266">
        <v>1.36</v>
      </c>
      <c r="AP266">
        <v>4.5</v>
      </c>
      <c r="AQ266">
        <v>7.5</v>
      </c>
      <c r="AR266">
        <v>1.4</v>
      </c>
      <c r="AS266">
        <v>4.8</v>
      </c>
      <c r="AT266">
        <v>9.5</v>
      </c>
      <c r="AU266">
        <v>49</v>
      </c>
      <c r="AV266">
        <v>1.45</v>
      </c>
      <c r="AW266">
        <v>1.39</v>
      </c>
      <c r="AX266">
        <v>5.0999999999999996</v>
      </c>
      <c r="AY266">
        <v>4.63</v>
      </c>
      <c r="AZ266">
        <v>10.5</v>
      </c>
      <c r="BA266">
        <v>8.2100000000000009</v>
      </c>
      <c r="BB266">
        <v>46</v>
      </c>
      <c r="BC266">
        <v>1.76</v>
      </c>
      <c r="BD266">
        <v>1.7</v>
      </c>
      <c r="BE266">
        <v>2.25</v>
      </c>
      <c r="BF266">
        <v>2.11</v>
      </c>
      <c r="BG266">
        <v>26</v>
      </c>
      <c r="BH266">
        <v>-1.5</v>
      </c>
      <c r="BI266">
        <v>2.21</v>
      </c>
      <c r="BJ266">
        <v>2.13</v>
      </c>
      <c r="BK266">
        <v>1.82</v>
      </c>
      <c r="BL266">
        <v>1.72</v>
      </c>
      <c r="BM266">
        <v>1.39</v>
      </c>
      <c r="BN266">
        <v>5.16</v>
      </c>
      <c r="BO266">
        <v>9.36</v>
      </c>
    </row>
    <row r="267" spans="1:67">
      <c r="A267" t="s">
        <v>63</v>
      </c>
      <c r="B267" s="77">
        <v>41707</v>
      </c>
      <c r="C267" t="s">
        <v>75</v>
      </c>
      <c r="D267" t="s">
        <v>72</v>
      </c>
      <c r="E267">
        <v>0</v>
      </c>
      <c r="F267">
        <v>1</v>
      </c>
      <c r="G267" t="s">
        <v>66</v>
      </c>
      <c r="H267">
        <v>0</v>
      </c>
      <c r="I267">
        <v>0</v>
      </c>
      <c r="J267" t="s">
        <v>67</v>
      </c>
      <c r="K267">
        <v>15</v>
      </c>
      <c r="L267">
        <v>11</v>
      </c>
      <c r="M267">
        <v>4</v>
      </c>
      <c r="N267">
        <v>5</v>
      </c>
      <c r="O267">
        <v>17</v>
      </c>
      <c r="P267">
        <v>13</v>
      </c>
      <c r="Q267">
        <v>10</v>
      </c>
      <c r="R267">
        <v>2</v>
      </c>
      <c r="S267">
        <v>1</v>
      </c>
      <c r="T267">
        <v>1</v>
      </c>
      <c r="U267">
        <v>1</v>
      </c>
      <c r="V267">
        <v>0</v>
      </c>
      <c r="W267">
        <v>1.57</v>
      </c>
      <c r="X267">
        <v>3.8</v>
      </c>
      <c r="Y267">
        <v>6</v>
      </c>
      <c r="Z267">
        <v>1.6</v>
      </c>
      <c r="AA267">
        <v>3.6</v>
      </c>
      <c r="AB267">
        <v>6.25</v>
      </c>
      <c r="AC267">
        <v>1.6</v>
      </c>
      <c r="AD267">
        <v>3.7</v>
      </c>
      <c r="AE267">
        <v>5.4</v>
      </c>
      <c r="AF267">
        <v>1.61</v>
      </c>
      <c r="AG267">
        <v>3.8</v>
      </c>
      <c r="AH267">
        <v>5.5</v>
      </c>
      <c r="AI267">
        <v>1.66</v>
      </c>
      <c r="AJ267">
        <v>3.8</v>
      </c>
      <c r="AK267">
        <v>6.44</v>
      </c>
      <c r="AL267">
        <v>1.67</v>
      </c>
      <c r="AM267">
        <v>3.5</v>
      </c>
      <c r="AN267">
        <v>5.5</v>
      </c>
      <c r="AO267">
        <v>1.62</v>
      </c>
      <c r="AP267">
        <v>3.6</v>
      </c>
      <c r="AQ267">
        <v>5.5</v>
      </c>
      <c r="AR267">
        <v>1.65</v>
      </c>
      <c r="AS267">
        <v>3.75</v>
      </c>
      <c r="AT267">
        <v>6.5</v>
      </c>
      <c r="AU267">
        <v>49</v>
      </c>
      <c r="AV267">
        <v>1.67</v>
      </c>
      <c r="AW267">
        <v>1.63</v>
      </c>
      <c r="AX267">
        <v>4</v>
      </c>
      <c r="AY267">
        <v>3.7</v>
      </c>
      <c r="AZ267">
        <v>6.74</v>
      </c>
      <c r="BA267">
        <v>5.78</v>
      </c>
      <c r="BB267">
        <v>46</v>
      </c>
      <c r="BC267">
        <v>2.2000000000000002</v>
      </c>
      <c r="BD267">
        <v>2.1</v>
      </c>
      <c r="BE267">
        <v>1.82</v>
      </c>
      <c r="BF267">
        <v>1.71</v>
      </c>
      <c r="BG267">
        <v>26</v>
      </c>
      <c r="BH267">
        <v>-1</v>
      </c>
      <c r="BI267">
        <v>2.2200000000000002</v>
      </c>
      <c r="BJ267">
        <v>2.15</v>
      </c>
      <c r="BK267">
        <v>1.81</v>
      </c>
      <c r="BL267">
        <v>1.73</v>
      </c>
      <c r="BM267">
        <v>1.68</v>
      </c>
      <c r="BN267">
        <v>3.79</v>
      </c>
      <c r="BO267">
        <v>6.31</v>
      </c>
    </row>
    <row r="268" spans="1:67">
      <c r="A268" t="s">
        <v>63</v>
      </c>
      <c r="B268" s="77">
        <v>41707</v>
      </c>
      <c r="C268" t="s">
        <v>79</v>
      </c>
      <c r="D268" t="s">
        <v>78</v>
      </c>
      <c r="E268">
        <v>1</v>
      </c>
      <c r="F268">
        <v>0</v>
      </c>
      <c r="G268" t="s">
        <v>70</v>
      </c>
      <c r="H268">
        <v>0</v>
      </c>
      <c r="I268">
        <v>0</v>
      </c>
      <c r="J268" t="s">
        <v>67</v>
      </c>
      <c r="K268">
        <v>13</v>
      </c>
      <c r="L268">
        <v>14</v>
      </c>
      <c r="M268">
        <v>4</v>
      </c>
      <c r="N268">
        <v>6</v>
      </c>
      <c r="O268">
        <v>13</v>
      </c>
      <c r="P268">
        <v>8</v>
      </c>
      <c r="Q268">
        <v>3</v>
      </c>
      <c r="R268">
        <v>5</v>
      </c>
      <c r="S268">
        <v>1</v>
      </c>
      <c r="T268">
        <v>2</v>
      </c>
      <c r="U268">
        <v>0</v>
      </c>
      <c r="V268">
        <v>0</v>
      </c>
      <c r="W268">
        <v>2.2000000000000002</v>
      </c>
      <c r="X268">
        <v>3.3</v>
      </c>
      <c r="Y268">
        <v>3.3</v>
      </c>
      <c r="Z268">
        <v>2.2999999999999998</v>
      </c>
      <c r="AA268">
        <v>3.3</v>
      </c>
      <c r="AB268">
        <v>3.1</v>
      </c>
      <c r="AC268">
        <v>2.2000000000000002</v>
      </c>
      <c r="AD268">
        <v>3.2</v>
      </c>
      <c r="AE268">
        <v>3.2</v>
      </c>
      <c r="AF268">
        <v>2.37</v>
      </c>
      <c r="AG268">
        <v>3.3</v>
      </c>
      <c r="AH268">
        <v>2.9</v>
      </c>
      <c r="AI268">
        <v>2.34</v>
      </c>
      <c r="AJ268">
        <v>3.38</v>
      </c>
      <c r="AK268">
        <v>3.36</v>
      </c>
      <c r="AL268">
        <v>2.38</v>
      </c>
      <c r="AM268">
        <v>3.2</v>
      </c>
      <c r="AN268">
        <v>3</v>
      </c>
      <c r="AO268">
        <v>2.25</v>
      </c>
      <c r="AP268">
        <v>3.25</v>
      </c>
      <c r="AQ268">
        <v>3.13</v>
      </c>
      <c r="AR268">
        <v>2.38</v>
      </c>
      <c r="AS268">
        <v>3.4</v>
      </c>
      <c r="AT268">
        <v>3.3</v>
      </c>
      <c r="AU268">
        <v>49</v>
      </c>
      <c r="AV268">
        <v>2.38</v>
      </c>
      <c r="AW268">
        <v>2.29</v>
      </c>
      <c r="AX268">
        <v>3.45</v>
      </c>
      <c r="AY268">
        <v>3.29</v>
      </c>
      <c r="AZ268">
        <v>3.4</v>
      </c>
      <c r="BA268">
        <v>3.15</v>
      </c>
      <c r="BB268">
        <v>47</v>
      </c>
      <c r="BC268">
        <v>1.88</v>
      </c>
      <c r="BD268">
        <v>1.8</v>
      </c>
      <c r="BE268">
        <v>2.1</v>
      </c>
      <c r="BF268">
        <v>1.98</v>
      </c>
      <c r="BG268">
        <v>24</v>
      </c>
      <c r="BH268">
        <v>-0.25</v>
      </c>
      <c r="BI268">
        <v>2.0099999999999998</v>
      </c>
      <c r="BJ268">
        <v>1.97</v>
      </c>
      <c r="BK268">
        <v>1.94</v>
      </c>
      <c r="BL268">
        <v>1.89</v>
      </c>
      <c r="BM268">
        <v>2.39</v>
      </c>
      <c r="BN268">
        <v>3.31</v>
      </c>
      <c r="BO268">
        <v>3.33</v>
      </c>
    </row>
    <row r="269" spans="1:67">
      <c r="A269" t="s">
        <v>63</v>
      </c>
      <c r="B269" s="77">
        <v>41707</v>
      </c>
      <c r="C269" t="s">
        <v>81</v>
      </c>
      <c r="D269" t="s">
        <v>68</v>
      </c>
      <c r="E269">
        <v>2</v>
      </c>
      <c r="F269">
        <v>0</v>
      </c>
      <c r="G269" t="s">
        <v>70</v>
      </c>
      <c r="H269">
        <v>1</v>
      </c>
      <c r="I269">
        <v>0</v>
      </c>
      <c r="J269" t="s">
        <v>70</v>
      </c>
      <c r="K269">
        <v>17</v>
      </c>
      <c r="L269">
        <v>11</v>
      </c>
      <c r="M269">
        <v>6</v>
      </c>
      <c r="N269">
        <v>3</v>
      </c>
      <c r="O269">
        <v>16</v>
      </c>
      <c r="P269">
        <v>14</v>
      </c>
      <c r="Q269">
        <v>8</v>
      </c>
      <c r="R269">
        <v>5</v>
      </c>
      <c r="S269">
        <v>3</v>
      </c>
      <c r="T269">
        <v>2</v>
      </c>
      <c r="U269">
        <v>0</v>
      </c>
      <c r="V269">
        <v>0</v>
      </c>
      <c r="W269">
        <v>1.73</v>
      </c>
      <c r="X269">
        <v>3.7</v>
      </c>
      <c r="Y269">
        <v>4.5999999999999996</v>
      </c>
      <c r="Z269">
        <v>1.72</v>
      </c>
      <c r="AA269">
        <v>3.6</v>
      </c>
      <c r="AB269">
        <v>4.75</v>
      </c>
      <c r="AC269">
        <v>1.8</v>
      </c>
      <c r="AD269">
        <v>3.5</v>
      </c>
      <c r="AE269">
        <v>4.2</v>
      </c>
      <c r="AF269">
        <v>1.72</v>
      </c>
      <c r="AG269">
        <v>3.75</v>
      </c>
      <c r="AH269">
        <v>4.5</v>
      </c>
      <c r="AI269">
        <v>1.72</v>
      </c>
      <c r="AJ269">
        <v>3.86</v>
      </c>
      <c r="AK269">
        <v>5.55</v>
      </c>
      <c r="AL269">
        <v>1.73</v>
      </c>
      <c r="AM269">
        <v>3.6</v>
      </c>
      <c r="AN269">
        <v>4.75</v>
      </c>
      <c r="AO269">
        <v>1.67</v>
      </c>
      <c r="AP269">
        <v>3.6</v>
      </c>
      <c r="AQ269">
        <v>4.8</v>
      </c>
      <c r="AR269">
        <v>1.73</v>
      </c>
      <c r="AS269">
        <v>3.8</v>
      </c>
      <c r="AT269">
        <v>5.25</v>
      </c>
      <c r="AU269">
        <v>49</v>
      </c>
      <c r="AV269">
        <v>1.8</v>
      </c>
      <c r="AW269">
        <v>1.72</v>
      </c>
      <c r="AX269">
        <v>3.86</v>
      </c>
      <c r="AY269">
        <v>3.66</v>
      </c>
      <c r="AZ269">
        <v>5.55</v>
      </c>
      <c r="BA269">
        <v>4.8899999999999997</v>
      </c>
      <c r="BB269">
        <v>47</v>
      </c>
      <c r="BC269">
        <v>1.92</v>
      </c>
      <c r="BD269">
        <v>1.84</v>
      </c>
      <c r="BE269">
        <v>2.08</v>
      </c>
      <c r="BF269">
        <v>1.94</v>
      </c>
      <c r="BG269">
        <v>24</v>
      </c>
      <c r="BH269">
        <v>-0.75</v>
      </c>
      <c r="BI269">
        <v>1.96</v>
      </c>
      <c r="BJ269">
        <v>1.91</v>
      </c>
      <c r="BK269">
        <v>2</v>
      </c>
      <c r="BL269">
        <v>1.94</v>
      </c>
      <c r="BM269">
        <v>1.64</v>
      </c>
      <c r="BN269">
        <v>4.03</v>
      </c>
      <c r="BO269">
        <v>6.16</v>
      </c>
    </row>
    <row r="270" spans="1:67">
      <c r="A270" t="s">
        <v>63</v>
      </c>
      <c r="B270" s="77">
        <v>41707</v>
      </c>
      <c r="C270" t="s">
        <v>64</v>
      </c>
      <c r="D270" t="s">
        <v>77</v>
      </c>
      <c r="E270">
        <v>4</v>
      </c>
      <c r="F270">
        <v>2</v>
      </c>
      <c r="G270" t="s">
        <v>70</v>
      </c>
      <c r="H270">
        <v>0</v>
      </c>
      <c r="I270">
        <v>2</v>
      </c>
      <c r="J270" t="s">
        <v>66</v>
      </c>
      <c r="K270">
        <v>18</v>
      </c>
      <c r="L270">
        <v>15</v>
      </c>
      <c r="M270">
        <v>7</v>
      </c>
      <c r="N270">
        <v>6</v>
      </c>
      <c r="O270">
        <v>22</v>
      </c>
      <c r="P270">
        <v>14</v>
      </c>
      <c r="Q270">
        <v>12</v>
      </c>
      <c r="R270">
        <v>4</v>
      </c>
      <c r="S270">
        <v>2</v>
      </c>
      <c r="T270">
        <v>3</v>
      </c>
      <c r="U270">
        <v>0</v>
      </c>
      <c r="V270">
        <v>0</v>
      </c>
      <c r="W270">
        <v>1.75</v>
      </c>
      <c r="X270">
        <v>3.4</v>
      </c>
      <c r="Y270">
        <v>5</v>
      </c>
      <c r="Z270">
        <v>1.75</v>
      </c>
      <c r="AA270">
        <v>3.4</v>
      </c>
      <c r="AB270">
        <v>5</v>
      </c>
      <c r="AC270">
        <v>1.75</v>
      </c>
      <c r="AD270">
        <v>3.5</v>
      </c>
      <c r="AE270">
        <v>4.5</v>
      </c>
      <c r="AF270">
        <v>1.8</v>
      </c>
      <c r="AG270">
        <v>3.5</v>
      </c>
      <c r="AH270">
        <v>4.5</v>
      </c>
      <c r="AI270">
        <v>1.8</v>
      </c>
      <c r="AJ270">
        <v>3.51</v>
      </c>
      <c r="AK270">
        <v>5.56</v>
      </c>
      <c r="AL270">
        <v>1.83</v>
      </c>
      <c r="AM270">
        <v>3.4</v>
      </c>
      <c r="AN270">
        <v>4.5</v>
      </c>
      <c r="AO270">
        <v>1.73</v>
      </c>
      <c r="AP270">
        <v>3.5</v>
      </c>
      <c r="AQ270">
        <v>4.5</v>
      </c>
      <c r="AR270">
        <v>1.8</v>
      </c>
      <c r="AS270">
        <v>3.5</v>
      </c>
      <c r="AT270">
        <v>5.4</v>
      </c>
      <c r="AU270">
        <v>49</v>
      </c>
      <c r="AV270">
        <v>1.83</v>
      </c>
      <c r="AW270">
        <v>1.78</v>
      </c>
      <c r="AX270">
        <v>3.8</v>
      </c>
      <c r="AY270">
        <v>3.48</v>
      </c>
      <c r="AZ270">
        <v>5.54</v>
      </c>
      <c r="BA270">
        <v>4.78</v>
      </c>
      <c r="BB270">
        <v>44</v>
      </c>
      <c r="BC270">
        <v>2.2999999999999998</v>
      </c>
      <c r="BD270">
        <v>2.1800000000000002</v>
      </c>
      <c r="BE270">
        <v>1.8</v>
      </c>
      <c r="BF270">
        <v>1.65</v>
      </c>
      <c r="BG270">
        <v>24</v>
      </c>
      <c r="BH270">
        <v>-0.75</v>
      </c>
      <c r="BI270">
        <v>2.08</v>
      </c>
      <c r="BJ270">
        <v>2.0299999999999998</v>
      </c>
      <c r="BK270">
        <v>1.87</v>
      </c>
      <c r="BL270">
        <v>1.83</v>
      </c>
      <c r="BM270">
        <v>1.83</v>
      </c>
      <c r="BN270">
        <v>3.54</v>
      </c>
      <c r="BO270">
        <v>5.24</v>
      </c>
    </row>
    <row r="271" spans="1:67">
      <c r="A271" t="s">
        <v>63</v>
      </c>
      <c r="B271" s="77">
        <v>41713</v>
      </c>
      <c r="C271" t="s">
        <v>68</v>
      </c>
      <c r="D271" t="s">
        <v>73</v>
      </c>
      <c r="E271">
        <v>0</v>
      </c>
      <c r="F271">
        <v>2</v>
      </c>
      <c r="G271" t="s">
        <v>66</v>
      </c>
      <c r="H271">
        <v>0</v>
      </c>
      <c r="I271">
        <v>1</v>
      </c>
      <c r="J271" t="s">
        <v>66</v>
      </c>
      <c r="K271">
        <v>10</v>
      </c>
      <c r="L271">
        <v>18</v>
      </c>
      <c r="M271">
        <v>4</v>
      </c>
      <c r="N271">
        <v>8</v>
      </c>
      <c r="O271">
        <v>6</v>
      </c>
      <c r="P271">
        <v>7</v>
      </c>
      <c r="Q271">
        <v>3</v>
      </c>
      <c r="R271">
        <v>5</v>
      </c>
      <c r="S271">
        <v>2</v>
      </c>
      <c r="T271">
        <v>1</v>
      </c>
      <c r="U271">
        <v>0</v>
      </c>
      <c r="V271">
        <v>0</v>
      </c>
      <c r="W271">
        <v>3.25</v>
      </c>
      <c r="X271">
        <v>3.4</v>
      </c>
      <c r="Y271">
        <v>2.15</v>
      </c>
      <c r="Z271">
        <v>3.5</v>
      </c>
      <c r="AA271">
        <v>3.3</v>
      </c>
      <c r="AB271">
        <v>2.1</v>
      </c>
      <c r="AC271">
        <v>3.3</v>
      </c>
      <c r="AD271">
        <v>3.3</v>
      </c>
      <c r="AE271">
        <v>2.1</v>
      </c>
      <c r="AF271">
        <v>3.25</v>
      </c>
      <c r="AG271">
        <v>3.4</v>
      </c>
      <c r="AH271">
        <v>2.15</v>
      </c>
      <c r="AI271">
        <v>3.79</v>
      </c>
      <c r="AJ271">
        <v>3.45</v>
      </c>
      <c r="AK271">
        <v>2.14</v>
      </c>
      <c r="AL271">
        <v>3.5</v>
      </c>
      <c r="AM271">
        <v>3.2</v>
      </c>
      <c r="AN271">
        <v>2.15</v>
      </c>
      <c r="AO271">
        <v>3.4</v>
      </c>
      <c r="AP271">
        <v>3.25</v>
      </c>
      <c r="AQ271">
        <v>2.1</v>
      </c>
      <c r="AR271">
        <v>3.75</v>
      </c>
      <c r="AS271">
        <v>3.4</v>
      </c>
      <c r="AT271">
        <v>2.15</v>
      </c>
      <c r="AU271">
        <v>49</v>
      </c>
      <c r="AV271">
        <v>3.79</v>
      </c>
      <c r="AW271">
        <v>3.48</v>
      </c>
      <c r="AX271">
        <v>3.46</v>
      </c>
      <c r="AY271">
        <v>3.32</v>
      </c>
      <c r="AZ271">
        <v>2.2000000000000002</v>
      </c>
      <c r="BA271">
        <v>2.12</v>
      </c>
      <c r="BB271">
        <v>47</v>
      </c>
      <c r="BC271">
        <v>1.96</v>
      </c>
      <c r="BD271">
        <v>1.89</v>
      </c>
      <c r="BE271">
        <v>2.04</v>
      </c>
      <c r="BF271">
        <v>1.89</v>
      </c>
      <c r="BG271">
        <v>22</v>
      </c>
      <c r="BH271">
        <v>0.25</v>
      </c>
      <c r="BI271">
        <v>2.1</v>
      </c>
      <c r="BJ271">
        <v>2.04</v>
      </c>
      <c r="BK271">
        <v>1.86</v>
      </c>
      <c r="BL271">
        <v>1.83</v>
      </c>
      <c r="BM271">
        <v>3.92</v>
      </c>
      <c r="BN271">
        <v>3.54</v>
      </c>
      <c r="BO271">
        <v>2.0699999999999998</v>
      </c>
    </row>
    <row r="272" spans="1:67">
      <c r="A272" t="s">
        <v>63</v>
      </c>
      <c r="B272" s="77">
        <v>41714</v>
      </c>
      <c r="C272" t="s">
        <v>72</v>
      </c>
      <c r="D272" t="s">
        <v>64</v>
      </c>
      <c r="E272">
        <v>3</v>
      </c>
      <c r="F272">
        <v>0</v>
      </c>
      <c r="G272" t="s">
        <v>70</v>
      </c>
      <c r="H272">
        <v>2</v>
      </c>
      <c r="I272">
        <v>0</v>
      </c>
      <c r="J272" t="s">
        <v>70</v>
      </c>
      <c r="K272">
        <v>12</v>
      </c>
      <c r="L272">
        <v>15</v>
      </c>
      <c r="M272">
        <v>4</v>
      </c>
      <c r="N272">
        <v>4</v>
      </c>
      <c r="O272">
        <v>12</v>
      </c>
      <c r="P272">
        <v>15</v>
      </c>
      <c r="Q272">
        <v>9</v>
      </c>
      <c r="R272">
        <v>3</v>
      </c>
      <c r="S272">
        <v>1</v>
      </c>
      <c r="T272">
        <v>1</v>
      </c>
      <c r="U272">
        <v>0</v>
      </c>
      <c r="V272">
        <v>0</v>
      </c>
      <c r="W272">
        <v>2.25</v>
      </c>
      <c r="X272">
        <v>3.2</v>
      </c>
      <c r="Y272">
        <v>3.3</v>
      </c>
      <c r="Z272">
        <v>2.4</v>
      </c>
      <c r="AA272">
        <v>3</v>
      </c>
      <c r="AB272">
        <v>3.2</v>
      </c>
      <c r="AC272">
        <v>2.2000000000000002</v>
      </c>
      <c r="AD272">
        <v>3</v>
      </c>
      <c r="AE272">
        <v>3.4</v>
      </c>
      <c r="AF272">
        <v>2.25</v>
      </c>
      <c r="AG272">
        <v>3.1</v>
      </c>
      <c r="AH272">
        <v>3.4</v>
      </c>
      <c r="AI272">
        <v>2.4900000000000002</v>
      </c>
      <c r="AJ272">
        <v>2.98</v>
      </c>
      <c r="AK272">
        <v>3.54</v>
      </c>
      <c r="AL272">
        <v>2.4</v>
      </c>
      <c r="AM272">
        <v>3</v>
      </c>
      <c r="AN272">
        <v>3.2</v>
      </c>
      <c r="AO272">
        <v>2.2999999999999998</v>
      </c>
      <c r="AP272">
        <v>3.13</v>
      </c>
      <c r="AQ272">
        <v>3.13</v>
      </c>
      <c r="AR272">
        <v>2.4</v>
      </c>
      <c r="AS272">
        <v>3.12</v>
      </c>
      <c r="AT272">
        <v>3.5</v>
      </c>
      <c r="AU272">
        <v>48</v>
      </c>
      <c r="AV272">
        <v>2.5099999999999998</v>
      </c>
      <c r="AW272">
        <v>2.36</v>
      </c>
      <c r="AX272">
        <v>3.2</v>
      </c>
      <c r="AY272">
        <v>3.07</v>
      </c>
      <c r="AZ272">
        <v>3.7</v>
      </c>
      <c r="BA272">
        <v>3.25</v>
      </c>
      <c r="BB272">
        <v>43</v>
      </c>
      <c r="BC272">
        <v>2.38</v>
      </c>
      <c r="BD272">
        <v>2.27</v>
      </c>
      <c r="BE272">
        <v>1.7</v>
      </c>
      <c r="BF272">
        <v>1.61</v>
      </c>
      <c r="BG272">
        <v>23</v>
      </c>
      <c r="BH272">
        <v>-0.25</v>
      </c>
      <c r="BI272">
        <v>2.1</v>
      </c>
      <c r="BJ272">
        <v>2.02</v>
      </c>
      <c r="BK272">
        <v>1.88</v>
      </c>
      <c r="BL272">
        <v>1.84</v>
      </c>
      <c r="BM272">
        <v>2.5299999999999998</v>
      </c>
      <c r="BN272">
        <v>3.13</v>
      </c>
      <c r="BO272">
        <v>3.27</v>
      </c>
    </row>
    <row r="273" spans="1:67">
      <c r="A273" t="s">
        <v>63</v>
      </c>
      <c r="B273" s="77">
        <v>41714</v>
      </c>
      <c r="C273" t="s">
        <v>71</v>
      </c>
      <c r="D273" t="s">
        <v>75</v>
      </c>
      <c r="E273">
        <v>0</v>
      </c>
      <c r="F273">
        <v>2</v>
      </c>
      <c r="G273" t="s">
        <v>66</v>
      </c>
      <c r="H273">
        <v>0</v>
      </c>
      <c r="I273">
        <v>1</v>
      </c>
      <c r="J273" t="s">
        <v>66</v>
      </c>
      <c r="K273">
        <v>8</v>
      </c>
      <c r="L273">
        <v>17</v>
      </c>
      <c r="M273">
        <v>3</v>
      </c>
      <c r="N273">
        <v>5</v>
      </c>
      <c r="O273">
        <v>13</v>
      </c>
      <c r="P273">
        <v>14</v>
      </c>
      <c r="Q273">
        <v>3</v>
      </c>
      <c r="R273">
        <v>3</v>
      </c>
      <c r="S273">
        <v>4</v>
      </c>
      <c r="T273">
        <v>2</v>
      </c>
      <c r="U273">
        <v>1</v>
      </c>
      <c r="V273">
        <v>0</v>
      </c>
      <c r="W273">
        <v>2.75</v>
      </c>
      <c r="X273">
        <v>3.1</v>
      </c>
      <c r="Y273">
        <v>2.63</v>
      </c>
      <c r="Z273">
        <v>2.7</v>
      </c>
      <c r="AA273">
        <v>3.1</v>
      </c>
      <c r="AB273">
        <v>2.7</v>
      </c>
      <c r="AC273">
        <v>2.5</v>
      </c>
      <c r="AD273">
        <v>3.2</v>
      </c>
      <c r="AE273">
        <v>2.75</v>
      </c>
      <c r="AF273">
        <v>2.7</v>
      </c>
      <c r="AG273">
        <v>3.2</v>
      </c>
      <c r="AH273">
        <v>2.7</v>
      </c>
      <c r="AI273">
        <v>2.86</v>
      </c>
      <c r="AJ273">
        <v>3.22</v>
      </c>
      <c r="AK273">
        <v>2.78</v>
      </c>
      <c r="AL273">
        <v>2.8</v>
      </c>
      <c r="AM273">
        <v>3</v>
      </c>
      <c r="AN273">
        <v>2.7</v>
      </c>
      <c r="AO273">
        <v>2.63</v>
      </c>
      <c r="AP273">
        <v>3</v>
      </c>
      <c r="AQ273">
        <v>2.63</v>
      </c>
      <c r="AR273">
        <v>2.9</v>
      </c>
      <c r="AS273">
        <v>3.1</v>
      </c>
      <c r="AT273">
        <v>2.8</v>
      </c>
      <c r="AU273">
        <v>48</v>
      </c>
      <c r="AV273">
        <v>2.98</v>
      </c>
      <c r="AW273">
        <v>2.74</v>
      </c>
      <c r="AX273">
        <v>3.25</v>
      </c>
      <c r="AY273">
        <v>3.1</v>
      </c>
      <c r="AZ273">
        <v>2.8</v>
      </c>
      <c r="BA273">
        <v>2.69</v>
      </c>
      <c r="BB273">
        <v>39</v>
      </c>
      <c r="BC273">
        <v>2.5</v>
      </c>
      <c r="BD273">
        <v>2.34</v>
      </c>
      <c r="BE273">
        <v>1.68</v>
      </c>
      <c r="BF273">
        <v>1.58</v>
      </c>
      <c r="BG273">
        <v>26</v>
      </c>
      <c r="BH273">
        <v>0</v>
      </c>
      <c r="BI273">
        <v>2</v>
      </c>
      <c r="BJ273">
        <v>1.94</v>
      </c>
      <c r="BK273">
        <v>1.95</v>
      </c>
      <c r="BL273">
        <v>1.9</v>
      </c>
      <c r="BM273">
        <v>3.19</v>
      </c>
      <c r="BN273">
        <v>3.23</v>
      </c>
      <c r="BO273">
        <v>2.5299999999999998</v>
      </c>
    </row>
    <row r="274" spans="1:67">
      <c r="A274" t="s">
        <v>63</v>
      </c>
      <c r="B274" s="77">
        <v>41714</v>
      </c>
      <c r="C274" t="s">
        <v>85</v>
      </c>
      <c r="D274" t="s">
        <v>82</v>
      </c>
      <c r="E274">
        <v>3</v>
      </c>
      <c r="F274">
        <v>1</v>
      </c>
      <c r="G274" t="s">
        <v>70</v>
      </c>
      <c r="H274">
        <v>2</v>
      </c>
      <c r="I274">
        <v>0</v>
      </c>
      <c r="J274" t="s">
        <v>70</v>
      </c>
      <c r="K274">
        <v>10</v>
      </c>
      <c r="L274">
        <v>16</v>
      </c>
      <c r="M274">
        <v>5</v>
      </c>
      <c r="N274">
        <v>4</v>
      </c>
      <c r="O274">
        <v>10</v>
      </c>
      <c r="P274">
        <v>25</v>
      </c>
      <c r="Q274">
        <v>4</v>
      </c>
      <c r="R274">
        <v>7</v>
      </c>
      <c r="S274">
        <v>0</v>
      </c>
      <c r="T274">
        <v>3</v>
      </c>
      <c r="U274">
        <v>0</v>
      </c>
      <c r="V274">
        <v>0</v>
      </c>
      <c r="W274">
        <v>1.53</v>
      </c>
      <c r="X274">
        <v>4</v>
      </c>
      <c r="Y274">
        <v>6</v>
      </c>
      <c r="Z274">
        <v>1.5</v>
      </c>
      <c r="AA274">
        <v>3.9</v>
      </c>
      <c r="AB274">
        <v>7</v>
      </c>
      <c r="AC274">
        <v>1.45</v>
      </c>
      <c r="AD274">
        <v>4</v>
      </c>
      <c r="AE274">
        <v>7</v>
      </c>
      <c r="AF274">
        <v>1.5</v>
      </c>
      <c r="AG274">
        <v>4</v>
      </c>
      <c r="AH274">
        <v>7</v>
      </c>
      <c r="AI274">
        <v>1.56</v>
      </c>
      <c r="AJ274">
        <v>4.13</v>
      </c>
      <c r="AK274">
        <v>7.2</v>
      </c>
      <c r="AL274">
        <v>1.57</v>
      </c>
      <c r="AM274">
        <v>3.5</v>
      </c>
      <c r="AN274">
        <v>7</v>
      </c>
      <c r="AO274">
        <v>1.53</v>
      </c>
      <c r="AP274">
        <v>3.8</v>
      </c>
      <c r="AQ274">
        <v>6</v>
      </c>
      <c r="AR274">
        <v>1.53</v>
      </c>
      <c r="AS274">
        <v>4.0999999999999996</v>
      </c>
      <c r="AT274">
        <v>8</v>
      </c>
      <c r="AU274">
        <v>49</v>
      </c>
      <c r="AV274">
        <v>1.6</v>
      </c>
      <c r="AW274">
        <v>1.53</v>
      </c>
      <c r="AX274">
        <v>4.2</v>
      </c>
      <c r="AY274">
        <v>3.9</v>
      </c>
      <c r="AZ274">
        <v>8</v>
      </c>
      <c r="BA274">
        <v>6.77</v>
      </c>
      <c r="BB274">
        <v>47</v>
      </c>
      <c r="BC274">
        <v>2.0499999999999998</v>
      </c>
      <c r="BD274">
        <v>1.96</v>
      </c>
      <c r="BE274">
        <v>1.94</v>
      </c>
      <c r="BF274">
        <v>1.82</v>
      </c>
      <c r="BG274">
        <v>28</v>
      </c>
      <c r="BH274">
        <v>-1</v>
      </c>
      <c r="BI274">
        <v>2.0299999999999998</v>
      </c>
      <c r="BJ274">
        <v>1.95</v>
      </c>
      <c r="BK274">
        <v>2</v>
      </c>
      <c r="BL274">
        <v>1.9</v>
      </c>
      <c r="BM274">
        <v>1.58</v>
      </c>
      <c r="BN274">
        <v>3.89</v>
      </c>
      <c r="BO274">
        <v>7.57</v>
      </c>
    </row>
    <row r="275" spans="1:67">
      <c r="A275" t="s">
        <v>63</v>
      </c>
      <c r="B275" s="77">
        <v>41714</v>
      </c>
      <c r="C275" t="s">
        <v>74</v>
      </c>
      <c r="D275" t="s">
        <v>65</v>
      </c>
      <c r="E275">
        <v>0</v>
      </c>
      <c r="F275">
        <v>1</v>
      </c>
      <c r="G275" t="s">
        <v>66</v>
      </c>
      <c r="H275">
        <v>0</v>
      </c>
      <c r="I275">
        <v>0</v>
      </c>
      <c r="J275" t="s">
        <v>67</v>
      </c>
      <c r="K275">
        <v>14</v>
      </c>
      <c r="L275">
        <v>6</v>
      </c>
      <c r="M275">
        <v>4</v>
      </c>
      <c r="N275">
        <v>1</v>
      </c>
      <c r="O275">
        <v>23</v>
      </c>
      <c r="P275">
        <v>18</v>
      </c>
      <c r="Q275">
        <v>3</v>
      </c>
      <c r="R275">
        <v>3</v>
      </c>
      <c r="S275">
        <v>4</v>
      </c>
      <c r="T275">
        <v>2</v>
      </c>
      <c r="U275">
        <v>0</v>
      </c>
      <c r="V275">
        <v>0</v>
      </c>
      <c r="W275">
        <v>7</v>
      </c>
      <c r="X275">
        <v>4.33</v>
      </c>
      <c r="Y275">
        <v>1.44</v>
      </c>
      <c r="Z275">
        <v>8.75</v>
      </c>
      <c r="AA275">
        <v>4.2</v>
      </c>
      <c r="AB275">
        <v>1.4</v>
      </c>
      <c r="AC275">
        <v>7.3</v>
      </c>
      <c r="AD275">
        <v>4.4000000000000004</v>
      </c>
      <c r="AE275">
        <v>1.4</v>
      </c>
      <c r="AF275">
        <v>8</v>
      </c>
      <c r="AG275">
        <v>4.33</v>
      </c>
      <c r="AH275">
        <v>1.44</v>
      </c>
      <c r="AI275">
        <v>8.68</v>
      </c>
      <c r="AJ275">
        <v>4.5999999999999996</v>
      </c>
      <c r="AK275">
        <v>1.45</v>
      </c>
      <c r="AL275">
        <v>8</v>
      </c>
      <c r="AM275">
        <v>4</v>
      </c>
      <c r="AN275">
        <v>1.44</v>
      </c>
      <c r="AO275">
        <v>7</v>
      </c>
      <c r="AP275">
        <v>4.33</v>
      </c>
      <c r="AQ275">
        <v>1.4</v>
      </c>
      <c r="AR275">
        <v>9.5</v>
      </c>
      <c r="AS275">
        <v>4.5999999999999996</v>
      </c>
      <c r="AT275">
        <v>1.44</v>
      </c>
      <c r="AU275">
        <v>49</v>
      </c>
      <c r="AV275">
        <v>10</v>
      </c>
      <c r="AW275">
        <v>7.86</v>
      </c>
      <c r="AX275">
        <v>4.8</v>
      </c>
      <c r="AY275">
        <v>4.3899999999999997</v>
      </c>
      <c r="AZ275">
        <v>1.5</v>
      </c>
      <c r="BA275">
        <v>1.42</v>
      </c>
      <c r="BB275">
        <v>45</v>
      </c>
      <c r="BC275">
        <v>1.94</v>
      </c>
      <c r="BD275">
        <v>1.87</v>
      </c>
      <c r="BE275">
        <v>2.08</v>
      </c>
      <c r="BF275">
        <v>1.91</v>
      </c>
      <c r="BG275">
        <v>24</v>
      </c>
      <c r="BH275">
        <v>1.25</v>
      </c>
      <c r="BI275">
        <v>1.88</v>
      </c>
      <c r="BJ275">
        <v>1.84</v>
      </c>
      <c r="BK275">
        <v>2.11</v>
      </c>
      <c r="BL275">
        <v>2.0299999999999998</v>
      </c>
      <c r="BM275">
        <v>7.37</v>
      </c>
      <c r="BN275">
        <v>4.46</v>
      </c>
      <c r="BO275">
        <v>1.52</v>
      </c>
    </row>
    <row r="276" spans="1:67">
      <c r="A276" t="s">
        <v>63</v>
      </c>
      <c r="B276" s="77">
        <v>41714</v>
      </c>
      <c r="C276" t="s">
        <v>77</v>
      </c>
      <c r="D276" t="s">
        <v>80</v>
      </c>
      <c r="E276">
        <v>2</v>
      </c>
      <c r="F276">
        <v>1</v>
      </c>
      <c r="G276" t="s">
        <v>70</v>
      </c>
      <c r="H276">
        <v>0</v>
      </c>
      <c r="I276">
        <v>0</v>
      </c>
      <c r="J276" t="s">
        <v>67</v>
      </c>
      <c r="K276">
        <v>8</v>
      </c>
      <c r="L276">
        <v>15</v>
      </c>
      <c r="M276">
        <v>4</v>
      </c>
      <c r="N276">
        <v>4</v>
      </c>
      <c r="O276">
        <v>19</v>
      </c>
      <c r="P276">
        <v>17</v>
      </c>
      <c r="Q276">
        <v>2</v>
      </c>
      <c r="R276">
        <v>5</v>
      </c>
      <c r="S276">
        <v>3</v>
      </c>
      <c r="T276">
        <v>3</v>
      </c>
      <c r="U276">
        <v>2</v>
      </c>
      <c r="V276">
        <v>0</v>
      </c>
      <c r="W276">
        <v>2.2000000000000002</v>
      </c>
      <c r="X276">
        <v>3.2</v>
      </c>
      <c r="Y276">
        <v>3.4</v>
      </c>
      <c r="Z276">
        <v>2.25</v>
      </c>
      <c r="AA276">
        <v>3.2</v>
      </c>
      <c r="AB276">
        <v>3.25</v>
      </c>
      <c r="AC276">
        <v>2.2000000000000002</v>
      </c>
      <c r="AD276">
        <v>3.2</v>
      </c>
      <c r="AE276">
        <v>3.2</v>
      </c>
      <c r="AF276">
        <v>2.25</v>
      </c>
      <c r="AG276">
        <v>3.2</v>
      </c>
      <c r="AH276">
        <v>3.25</v>
      </c>
      <c r="AI276">
        <v>2.3199999999999998</v>
      </c>
      <c r="AJ276">
        <v>3.18</v>
      </c>
      <c r="AK276">
        <v>3.65</v>
      </c>
      <c r="AL276">
        <v>2.2999999999999998</v>
      </c>
      <c r="AM276">
        <v>3</v>
      </c>
      <c r="AN276">
        <v>3.4</v>
      </c>
      <c r="AO276">
        <v>2.2000000000000002</v>
      </c>
      <c r="AP276">
        <v>3.13</v>
      </c>
      <c r="AQ276">
        <v>3.3</v>
      </c>
      <c r="AR276">
        <v>2.2999999999999998</v>
      </c>
      <c r="AS276">
        <v>3.12</v>
      </c>
      <c r="AT276">
        <v>3.7</v>
      </c>
      <c r="AU276">
        <v>49</v>
      </c>
      <c r="AV276">
        <v>2.35</v>
      </c>
      <c r="AW276">
        <v>2.2599999999999998</v>
      </c>
      <c r="AX276">
        <v>3.25</v>
      </c>
      <c r="AY276">
        <v>3.15</v>
      </c>
      <c r="AZ276">
        <v>3.7</v>
      </c>
      <c r="BA276">
        <v>3.35</v>
      </c>
      <c r="BB276">
        <v>43</v>
      </c>
      <c r="BC276">
        <v>2.4700000000000002</v>
      </c>
      <c r="BD276">
        <v>2.29</v>
      </c>
      <c r="BE276">
        <v>1.68</v>
      </c>
      <c r="BF276">
        <v>1.6</v>
      </c>
      <c r="BG276">
        <v>24</v>
      </c>
      <c r="BH276">
        <v>-0.25</v>
      </c>
      <c r="BI276">
        <v>1.98</v>
      </c>
      <c r="BJ276">
        <v>1.93</v>
      </c>
      <c r="BK276">
        <v>1.99</v>
      </c>
      <c r="BL276">
        <v>1.93</v>
      </c>
      <c r="BM276">
        <v>2.31</v>
      </c>
      <c r="BN276">
        <v>3.1</v>
      </c>
      <c r="BO276">
        <v>3.77</v>
      </c>
    </row>
    <row r="277" spans="1:67">
      <c r="A277" t="s">
        <v>63</v>
      </c>
      <c r="B277" s="77">
        <v>41714</v>
      </c>
      <c r="C277" t="s">
        <v>69</v>
      </c>
      <c r="D277" t="s">
        <v>81</v>
      </c>
      <c r="E277">
        <v>2</v>
      </c>
      <c r="F277">
        <v>4</v>
      </c>
      <c r="G277" t="s">
        <v>66</v>
      </c>
      <c r="H277">
        <v>0</v>
      </c>
      <c r="I277">
        <v>1</v>
      </c>
      <c r="J277" t="s">
        <v>66</v>
      </c>
      <c r="K277">
        <v>13</v>
      </c>
      <c r="L277">
        <v>20</v>
      </c>
      <c r="M277">
        <v>3</v>
      </c>
      <c r="N277">
        <v>6</v>
      </c>
      <c r="O277">
        <v>14</v>
      </c>
      <c r="P277">
        <v>16</v>
      </c>
      <c r="Q277">
        <v>4</v>
      </c>
      <c r="R277">
        <v>6</v>
      </c>
      <c r="S277">
        <v>3</v>
      </c>
      <c r="T277">
        <v>2</v>
      </c>
      <c r="U277">
        <v>1</v>
      </c>
      <c r="V277">
        <v>0</v>
      </c>
      <c r="W277">
        <v>1.8</v>
      </c>
      <c r="X277">
        <v>3.6</v>
      </c>
      <c r="Y277">
        <v>4.33</v>
      </c>
      <c r="Z277">
        <v>1.83</v>
      </c>
      <c r="AA277">
        <v>3.6</v>
      </c>
      <c r="AB277">
        <v>4.2</v>
      </c>
      <c r="AC277">
        <v>1.85</v>
      </c>
      <c r="AD277">
        <v>3.45</v>
      </c>
      <c r="AE277">
        <v>4</v>
      </c>
      <c r="AF277">
        <v>1.8</v>
      </c>
      <c r="AG277">
        <v>3.6</v>
      </c>
      <c r="AH277">
        <v>4.5</v>
      </c>
      <c r="AI277">
        <v>1.85</v>
      </c>
      <c r="AJ277">
        <v>3.62</v>
      </c>
      <c r="AK277">
        <v>4.93</v>
      </c>
      <c r="AL277">
        <v>1.85</v>
      </c>
      <c r="AM277">
        <v>3.3</v>
      </c>
      <c r="AN277">
        <v>4.5</v>
      </c>
      <c r="AO277">
        <v>1.8</v>
      </c>
      <c r="AP277">
        <v>3.5</v>
      </c>
      <c r="AQ277">
        <v>4.33</v>
      </c>
      <c r="AR277">
        <v>1.85</v>
      </c>
      <c r="AS277">
        <v>3.6</v>
      </c>
      <c r="AT277">
        <v>4.8</v>
      </c>
      <c r="AU277">
        <v>49</v>
      </c>
      <c r="AV277">
        <v>1.88</v>
      </c>
      <c r="AW277">
        <v>1.82</v>
      </c>
      <c r="AX277">
        <v>3.8</v>
      </c>
      <c r="AY277">
        <v>3.51</v>
      </c>
      <c r="AZ277">
        <v>5</v>
      </c>
      <c r="BA277">
        <v>4.47</v>
      </c>
      <c r="BB277">
        <v>47</v>
      </c>
      <c r="BC277">
        <v>2.02</v>
      </c>
      <c r="BD277">
        <v>1.93</v>
      </c>
      <c r="BE277">
        <v>1.97</v>
      </c>
      <c r="BF277">
        <v>1.85</v>
      </c>
      <c r="BG277">
        <v>24</v>
      </c>
      <c r="BH277">
        <v>-0.5</v>
      </c>
      <c r="BI277">
        <v>1.85</v>
      </c>
      <c r="BJ277">
        <v>1.8</v>
      </c>
      <c r="BK277">
        <v>2.12</v>
      </c>
      <c r="BL277">
        <v>2.0499999999999998</v>
      </c>
      <c r="BM277">
        <v>1.78</v>
      </c>
      <c r="BN277">
        <v>3.75</v>
      </c>
      <c r="BO277">
        <v>5.31</v>
      </c>
    </row>
    <row r="278" spans="1:67">
      <c r="A278" t="s">
        <v>63</v>
      </c>
      <c r="B278" s="77">
        <v>41714</v>
      </c>
      <c r="C278" t="s">
        <v>84</v>
      </c>
      <c r="D278" t="s">
        <v>86</v>
      </c>
      <c r="E278">
        <v>3</v>
      </c>
      <c r="F278">
        <v>1</v>
      </c>
      <c r="G278" t="s">
        <v>70</v>
      </c>
      <c r="H278">
        <v>0</v>
      </c>
      <c r="I278">
        <v>1</v>
      </c>
      <c r="J278" t="s">
        <v>66</v>
      </c>
      <c r="K278">
        <v>21</v>
      </c>
      <c r="L278">
        <v>9</v>
      </c>
      <c r="M278">
        <v>10</v>
      </c>
      <c r="N278">
        <v>3</v>
      </c>
      <c r="O278">
        <v>21</v>
      </c>
      <c r="P278">
        <v>24</v>
      </c>
      <c r="Q278">
        <v>10</v>
      </c>
      <c r="R278">
        <v>2</v>
      </c>
      <c r="S278">
        <v>5</v>
      </c>
      <c r="T278">
        <v>2</v>
      </c>
      <c r="U278">
        <v>0</v>
      </c>
      <c r="V278">
        <v>0</v>
      </c>
      <c r="W278">
        <v>2.2000000000000002</v>
      </c>
      <c r="X278">
        <v>3.2</v>
      </c>
      <c r="Y278">
        <v>3.4</v>
      </c>
      <c r="Z278">
        <v>2.25</v>
      </c>
      <c r="AA278">
        <v>3.1</v>
      </c>
      <c r="AB278">
        <v>3.4</v>
      </c>
      <c r="AC278">
        <v>2.2000000000000002</v>
      </c>
      <c r="AD278">
        <v>3.2</v>
      </c>
      <c r="AE278">
        <v>3.2</v>
      </c>
      <c r="AF278">
        <v>2.25</v>
      </c>
      <c r="AG278">
        <v>3.2</v>
      </c>
      <c r="AH278">
        <v>3.25</v>
      </c>
      <c r="AI278">
        <v>2.35</v>
      </c>
      <c r="AJ278">
        <v>3.18</v>
      </c>
      <c r="AK278">
        <v>3.58</v>
      </c>
      <c r="AL278">
        <v>2.2999999999999998</v>
      </c>
      <c r="AM278">
        <v>3</v>
      </c>
      <c r="AN278">
        <v>3.4</v>
      </c>
      <c r="AO278">
        <v>2.2000000000000002</v>
      </c>
      <c r="AP278">
        <v>3.2</v>
      </c>
      <c r="AQ278">
        <v>3.2</v>
      </c>
      <c r="AR278">
        <v>2.2999999999999998</v>
      </c>
      <c r="AS278">
        <v>3.12</v>
      </c>
      <c r="AT278">
        <v>3.7</v>
      </c>
      <c r="AU278">
        <v>47</v>
      </c>
      <c r="AV278">
        <v>2.35</v>
      </c>
      <c r="AW278">
        <v>2.25</v>
      </c>
      <c r="AX278">
        <v>3.35</v>
      </c>
      <c r="AY278">
        <v>3.19</v>
      </c>
      <c r="AZ278">
        <v>3.7</v>
      </c>
      <c r="BA278">
        <v>3.32</v>
      </c>
      <c r="BB278">
        <v>41</v>
      </c>
      <c r="BC278">
        <v>2.3199999999999998</v>
      </c>
      <c r="BD278">
        <v>2.19</v>
      </c>
      <c r="BE278">
        <v>1.75</v>
      </c>
      <c r="BF278">
        <v>1.65</v>
      </c>
      <c r="BG278">
        <v>22</v>
      </c>
      <c r="BH278">
        <v>-0.25</v>
      </c>
      <c r="BI278">
        <v>1.99</v>
      </c>
      <c r="BJ278">
        <v>1.94</v>
      </c>
      <c r="BK278">
        <v>1.98</v>
      </c>
      <c r="BL278">
        <v>1.92</v>
      </c>
      <c r="BM278">
        <v>2.5499999999999998</v>
      </c>
      <c r="BN278">
        <v>3.2</v>
      </c>
      <c r="BO278">
        <v>3.17</v>
      </c>
    </row>
    <row r="279" spans="1:67">
      <c r="A279" t="s">
        <v>63</v>
      </c>
      <c r="B279" s="77">
        <v>41715</v>
      </c>
      <c r="C279" t="s">
        <v>78</v>
      </c>
      <c r="D279" t="s">
        <v>76</v>
      </c>
      <c r="E279">
        <v>3</v>
      </c>
      <c r="F279">
        <v>2</v>
      </c>
      <c r="G279" t="s">
        <v>70</v>
      </c>
      <c r="H279">
        <v>2</v>
      </c>
      <c r="I279">
        <v>0</v>
      </c>
      <c r="J279" t="s">
        <v>70</v>
      </c>
      <c r="K279">
        <v>20</v>
      </c>
      <c r="L279">
        <v>14</v>
      </c>
      <c r="M279">
        <v>9</v>
      </c>
      <c r="N279">
        <v>8</v>
      </c>
      <c r="O279">
        <v>8</v>
      </c>
      <c r="P279">
        <v>13</v>
      </c>
      <c r="Q279">
        <v>5</v>
      </c>
      <c r="R279">
        <v>11</v>
      </c>
      <c r="S279">
        <v>1</v>
      </c>
      <c r="T279">
        <v>1</v>
      </c>
      <c r="U279">
        <v>0</v>
      </c>
      <c r="V279">
        <v>0</v>
      </c>
      <c r="W279">
        <v>1.36</v>
      </c>
      <c r="X279">
        <v>4.5</v>
      </c>
      <c r="Y279">
        <v>9.5</v>
      </c>
      <c r="Z279">
        <v>1.4</v>
      </c>
      <c r="AA279">
        <v>4.5</v>
      </c>
      <c r="AB279">
        <v>7.5</v>
      </c>
      <c r="AC279">
        <v>1.35</v>
      </c>
      <c r="AD279">
        <v>4.8</v>
      </c>
      <c r="AE279">
        <v>7.6</v>
      </c>
      <c r="AF279">
        <v>1.4</v>
      </c>
      <c r="AG279">
        <v>4.5</v>
      </c>
      <c r="AH279">
        <v>8</v>
      </c>
      <c r="AI279">
        <v>1.4</v>
      </c>
      <c r="AJ279">
        <v>4.8899999999999997</v>
      </c>
      <c r="AK279">
        <v>9.69</v>
      </c>
      <c r="AL279">
        <v>1.44</v>
      </c>
      <c r="AM279">
        <v>4</v>
      </c>
      <c r="AN279">
        <v>8.5</v>
      </c>
      <c r="AO279">
        <v>1.36</v>
      </c>
      <c r="AP279">
        <v>4.5</v>
      </c>
      <c r="AQ279">
        <v>7.5</v>
      </c>
      <c r="AR279">
        <v>1.4</v>
      </c>
      <c r="AS279">
        <v>4.5999999999999996</v>
      </c>
      <c r="AT279">
        <v>10</v>
      </c>
      <c r="AU279">
        <v>46</v>
      </c>
      <c r="AV279">
        <v>1.44</v>
      </c>
      <c r="AW279">
        <v>1.39</v>
      </c>
      <c r="AX279">
        <v>5</v>
      </c>
      <c r="AY279">
        <v>4.54</v>
      </c>
      <c r="AZ279">
        <v>10</v>
      </c>
      <c r="BA279">
        <v>8.2799999999999994</v>
      </c>
      <c r="BB279">
        <v>44</v>
      </c>
      <c r="BC279">
        <v>1.9</v>
      </c>
      <c r="BD279">
        <v>1.79</v>
      </c>
      <c r="BE279">
        <v>2.1</v>
      </c>
      <c r="BF279">
        <v>1.99</v>
      </c>
      <c r="BG279">
        <v>22</v>
      </c>
      <c r="BH279">
        <v>-1.5</v>
      </c>
      <c r="BI279">
        <v>2.2599999999999998</v>
      </c>
      <c r="BJ279">
        <v>2.16</v>
      </c>
      <c r="BK279">
        <v>1.77</v>
      </c>
      <c r="BL279">
        <v>1.7</v>
      </c>
      <c r="BM279">
        <v>1.41</v>
      </c>
      <c r="BN279">
        <v>4.83</v>
      </c>
      <c r="BO279">
        <v>9.56</v>
      </c>
    </row>
    <row r="280" spans="1:67">
      <c r="A280" t="s">
        <v>63</v>
      </c>
      <c r="B280" s="77">
        <v>41715</v>
      </c>
      <c r="C280" t="s">
        <v>83</v>
      </c>
      <c r="D280" t="s">
        <v>79</v>
      </c>
      <c r="E280">
        <v>0</v>
      </c>
      <c r="F280">
        <v>1</v>
      </c>
      <c r="G280" t="s">
        <v>66</v>
      </c>
      <c r="H280">
        <v>0</v>
      </c>
      <c r="I280">
        <v>0</v>
      </c>
      <c r="J280" t="s">
        <v>67</v>
      </c>
      <c r="K280">
        <v>12</v>
      </c>
      <c r="L280">
        <v>13</v>
      </c>
      <c r="M280">
        <v>4</v>
      </c>
      <c r="N280">
        <v>4</v>
      </c>
      <c r="O280">
        <v>14</v>
      </c>
      <c r="P280">
        <v>8</v>
      </c>
      <c r="Q280">
        <v>5</v>
      </c>
      <c r="R280">
        <v>5</v>
      </c>
      <c r="S280">
        <v>2</v>
      </c>
      <c r="T280">
        <v>2</v>
      </c>
      <c r="U280">
        <v>0</v>
      </c>
      <c r="V280">
        <v>0</v>
      </c>
      <c r="W280">
        <v>3.4</v>
      </c>
      <c r="X280">
        <v>3.3</v>
      </c>
      <c r="Y280">
        <v>2.15</v>
      </c>
      <c r="Z280">
        <v>3.4</v>
      </c>
      <c r="AA280">
        <v>3.3</v>
      </c>
      <c r="AB280">
        <v>2.15</v>
      </c>
      <c r="AC280">
        <v>3.6</v>
      </c>
      <c r="AD280">
        <v>3.3</v>
      </c>
      <c r="AE280">
        <v>2</v>
      </c>
      <c r="AF280">
        <v>3.4</v>
      </c>
      <c r="AG280">
        <v>3.4</v>
      </c>
      <c r="AH280">
        <v>2.15</v>
      </c>
      <c r="AI280">
        <v>3.48</v>
      </c>
      <c r="AJ280">
        <v>3.4</v>
      </c>
      <c r="AK280">
        <v>2.2799999999999998</v>
      </c>
      <c r="AL280">
        <v>3.4</v>
      </c>
      <c r="AM280">
        <v>3</v>
      </c>
      <c r="AN280">
        <v>2.2999999999999998</v>
      </c>
      <c r="AO280">
        <v>3.2</v>
      </c>
      <c r="AP280">
        <v>3.2</v>
      </c>
      <c r="AQ280">
        <v>2.2000000000000002</v>
      </c>
      <c r="AR280">
        <v>3.5</v>
      </c>
      <c r="AS280">
        <v>3.4</v>
      </c>
      <c r="AT280">
        <v>2.25</v>
      </c>
      <c r="AU280">
        <v>46</v>
      </c>
      <c r="AV280">
        <v>3.6</v>
      </c>
      <c r="AW280">
        <v>3.35</v>
      </c>
      <c r="AX280">
        <v>3.45</v>
      </c>
      <c r="AY280">
        <v>3.28</v>
      </c>
      <c r="AZ280">
        <v>2.31</v>
      </c>
      <c r="BA280">
        <v>2.2000000000000002</v>
      </c>
      <c r="BB280">
        <v>42</v>
      </c>
      <c r="BC280">
        <v>1.95</v>
      </c>
      <c r="BD280">
        <v>1.88</v>
      </c>
      <c r="BE280">
        <v>2</v>
      </c>
      <c r="BF280">
        <v>1.9</v>
      </c>
      <c r="BG280">
        <v>22</v>
      </c>
      <c r="BH280">
        <v>0.25</v>
      </c>
      <c r="BI280">
        <v>1.99</v>
      </c>
      <c r="BJ280">
        <v>1.94</v>
      </c>
      <c r="BK280">
        <v>1.97</v>
      </c>
      <c r="BL280">
        <v>1.91</v>
      </c>
      <c r="BM280">
        <v>3.73</v>
      </c>
      <c r="BN280">
        <v>3.39</v>
      </c>
      <c r="BO280">
        <v>2.19</v>
      </c>
    </row>
    <row r="281" spans="1:67">
      <c r="A281" t="s">
        <v>63</v>
      </c>
      <c r="B281" s="77">
        <v>41720</v>
      </c>
      <c r="C281" t="s">
        <v>82</v>
      </c>
      <c r="D281" t="s">
        <v>78</v>
      </c>
      <c r="E281">
        <v>0</v>
      </c>
      <c r="F281">
        <v>2</v>
      </c>
      <c r="G281" t="s">
        <v>66</v>
      </c>
      <c r="H281">
        <v>0</v>
      </c>
      <c r="I281">
        <v>2</v>
      </c>
      <c r="J281" t="s">
        <v>66</v>
      </c>
      <c r="K281">
        <v>9</v>
      </c>
      <c r="L281">
        <v>16</v>
      </c>
      <c r="M281">
        <v>4</v>
      </c>
      <c r="N281">
        <v>4</v>
      </c>
      <c r="O281">
        <v>14</v>
      </c>
      <c r="P281">
        <v>13</v>
      </c>
      <c r="Q281">
        <v>5</v>
      </c>
      <c r="R281">
        <v>1</v>
      </c>
      <c r="S281">
        <v>1</v>
      </c>
      <c r="T281">
        <v>1</v>
      </c>
      <c r="U281">
        <v>0</v>
      </c>
      <c r="V281">
        <v>0</v>
      </c>
      <c r="W281">
        <v>6.5</v>
      </c>
      <c r="X281">
        <v>3.6</v>
      </c>
      <c r="Y281">
        <v>1.57</v>
      </c>
      <c r="Z281">
        <v>6</v>
      </c>
      <c r="AA281">
        <v>3.7</v>
      </c>
      <c r="AB281">
        <v>1.6</v>
      </c>
      <c r="AC281">
        <v>5.0999999999999996</v>
      </c>
      <c r="AD281">
        <v>3.6</v>
      </c>
      <c r="AE281">
        <v>1.65</v>
      </c>
      <c r="AF281">
        <v>6</v>
      </c>
      <c r="AG281">
        <v>3.75</v>
      </c>
      <c r="AH281">
        <v>1.61</v>
      </c>
      <c r="AI281">
        <v>7.04</v>
      </c>
      <c r="AJ281">
        <v>3.88</v>
      </c>
      <c r="AK281">
        <v>1.61</v>
      </c>
      <c r="AL281">
        <v>6.5</v>
      </c>
      <c r="AM281">
        <v>3.4</v>
      </c>
      <c r="AN281">
        <v>1.62</v>
      </c>
      <c r="AO281">
        <v>5.75</v>
      </c>
      <c r="AP281">
        <v>3.75</v>
      </c>
      <c r="AQ281">
        <v>1.57</v>
      </c>
      <c r="AR281">
        <v>7</v>
      </c>
      <c r="AS281">
        <v>3.8</v>
      </c>
      <c r="AT281">
        <v>1.62</v>
      </c>
      <c r="AU281">
        <v>49</v>
      </c>
      <c r="AV281">
        <v>7.3</v>
      </c>
      <c r="AW281">
        <v>6.12</v>
      </c>
      <c r="AX281">
        <v>4</v>
      </c>
      <c r="AY281">
        <v>3.73</v>
      </c>
      <c r="AZ281">
        <v>1.65</v>
      </c>
      <c r="BA281">
        <v>1.6</v>
      </c>
      <c r="BB281">
        <v>45</v>
      </c>
      <c r="BC281">
        <v>2.2000000000000002</v>
      </c>
      <c r="BD281">
        <v>2.08</v>
      </c>
      <c r="BE281">
        <v>1.8</v>
      </c>
      <c r="BF281">
        <v>1.73</v>
      </c>
      <c r="BG281">
        <v>27</v>
      </c>
      <c r="BH281">
        <v>1</v>
      </c>
      <c r="BI281">
        <v>1.87</v>
      </c>
      <c r="BJ281">
        <v>1.77</v>
      </c>
      <c r="BK281">
        <v>2.17</v>
      </c>
      <c r="BL281">
        <v>2.08</v>
      </c>
      <c r="BM281">
        <v>6.61</v>
      </c>
      <c r="BN281">
        <v>3.74</v>
      </c>
      <c r="BO281">
        <v>1.66</v>
      </c>
    </row>
    <row r="282" spans="1:67">
      <c r="A282" t="s">
        <v>63</v>
      </c>
      <c r="B282" s="77">
        <v>41720</v>
      </c>
      <c r="C282" t="s">
        <v>83</v>
      </c>
      <c r="D282" t="s">
        <v>77</v>
      </c>
      <c r="E282">
        <v>3</v>
      </c>
      <c r="F282">
        <v>1</v>
      </c>
      <c r="G282" t="s">
        <v>70</v>
      </c>
      <c r="H282">
        <v>1</v>
      </c>
      <c r="I282">
        <v>0</v>
      </c>
      <c r="J282" t="s">
        <v>70</v>
      </c>
      <c r="K282">
        <v>18</v>
      </c>
      <c r="L282">
        <v>10</v>
      </c>
      <c r="M282">
        <v>11</v>
      </c>
      <c r="N282">
        <v>3</v>
      </c>
      <c r="O282">
        <v>11</v>
      </c>
      <c r="P282">
        <v>15</v>
      </c>
      <c r="Q282">
        <v>12</v>
      </c>
      <c r="R282">
        <v>6</v>
      </c>
      <c r="S282">
        <v>0</v>
      </c>
      <c r="T282">
        <v>1</v>
      </c>
      <c r="U282">
        <v>0</v>
      </c>
      <c r="V282">
        <v>0</v>
      </c>
      <c r="W282">
        <v>1.62</v>
      </c>
      <c r="X282">
        <v>3.6</v>
      </c>
      <c r="Y282">
        <v>6</v>
      </c>
      <c r="Z282">
        <v>1.6</v>
      </c>
      <c r="AA282">
        <v>3.7</v>
      </c>
      <c r="AB282">
        <v>6</v>
      </c>
      <c r="AC282">
        <v>1.7</v>
      </c>
      <c r="AD282">
        <v>3.6</v>
      </c>
      <c r="AE282">
        <v>4.7</v>
      </c>
      <c r="AF282">
        <v>1.66</v>
      </c>
      <c r="AG282">
        <v>3.6</v>
      </c>
      <c r="AH282">
        <v>5.5</v>
      </c>
      <c r="AI282">
        <v>1.66</v>
      </c>
      <c r="AJ282">
        <v>3.83</v>
      </c>
      <c r="AK282">
        <v>6.38</v>
      </c>
      <c r="AL282">
        <v>1.62</v>
      </c>
      <c r="AM282">
        <v>3.6</v>
      </c>
      <c r="AN282">
        <v>6</v>
      </c>
      <c r="AO282">
        <v>1.62</v>
      </c>
      <c r="AP282">
        <v>3.6</v>
      </c>
      <c r="AQ282">
        <v>5.25</v>
      </c>
      <c r="AR282">
        <v>1.62</v>
      </c>
      <c r="AS282">
        <v>3.75</v>
      </c>
      <c r="AT282">
        <v>7</v>
      </c>
      <c r="AU282">
        <v>50</v>
      </c>
      <c r="AV282">
        <v>1.7</v>
      </c>
      <c r="AW282">
        <v>1.63</v>
      </c>
      <c r="AX282">
        <v>4</v>
      </c>
      <c r="AY282">
        <v>3.68</v>
      </c>
      <c r="AZ282">
        <v>6.7</v>
      </c>
      <c r="BA282">
        <v>5.82</v>
      </c>
      <c r="BB282">
        <v>47</v>
      </c>
      <c r="BC282">
        <v>2.08</v>
      </c>
      <c r="BD282">
        <v>1.99</v>
      </c>
      <c r="BE282">
        <v>1.92</v>
      </c>
      <c r="BF282">
        <v>1.79</v>
      </c>
      <c r="BG282">
        <v>27</v>
      </c>
      <c r="BH282">
        <v>-1</v>
      </c>
      <c r="BI282">
        <v>2.2599999999999998</v>
      </c>
      <c r="BJ282">
        <v>2.14</v>
      </c>
      <c r="BK282">
        <v>1.83</v>
      </c>
      <c r="BL282">
        <v>1.73</v>
      </c>
      <c r="BM282">
        <v>1.65</v>
      </c>
      <c r="BN282">
        <v>3.85</v>
      </c>
      <c r="BO282">
        <v>6.42</v>
      </c>
    </row>
    <row r="283" spans="1:67">
      <c r="A283" t="s">
        <v>63</v>
      </c>
      <c r="B283" s="77">
        <v>41721</v>
      </c>
      <c r="C283" t="s">
        <v>80</v>
      </c>
      <c r="D283" t="s">
        <v>71</v>
      </c>
      <c r="E283">
        <v>1</v>
      </c>
      <c r="F283">
        <v>0</v>
      </c>
      <c r="G283" t="s">
        <v>70</v>
      </c>
      <c r="H283">
        <v>0</v>
      </c>
      <c r="I283">
        <v>0</v>
      </c>
      <c r="J283" t="s">
        <v>67</v>
      </c>
      <c r="K283">
        <v>12</v>
      </c>
      <c r="L283">
        <v>10</v>
      </c>
      <c r="M283">
        <v>5</v>
      </c>
      <c r="N283">
        <v>3</v>
      </c>
      <c r="O283">
        <v>15</v>
      </c>
      <c r="P283">
        <v>20</v>
      </c>
      <c r="Q283">
        <v>7</v>
      </c>
      <c r="R283">
        <v>6</v>
      </c>
      <c r="S283">
        <v>2</v>
      </c>
      <c r="T283">
        <v>3</v>
      </c>
      <c r="U283">
        <v>0</v>
      </c>
      <c r="V283">
        <v>1</v>
      </c>
      <c r="W283">
        <v>2.2999999999999998</v>
      </c>
      <c r="X283">
        <v>3.1</v>
      </c>
      <c r="Y283">
        <v>3.25</v>
      </c>
      <c r="Z283">
        <v>2.35</v>
      </c>
      <c r="AA283">
        <v>3</v>
      </c>
      <c r="AB283">
        <v>3.3</v>
      </c>
      <c r="AC283">
        <v>2.2000000000000002</v>
      </c>
      <c r="AD283">
        <v>3.15</v>
      </c>
      <c r="AE283">
        <v>3.25</v>
      </c>
      <c r="AF283">
        <v>2.2999999999999998</v>
      </c>
      <c r="AG283">
        <v>3.1</v>
      </c>
      <c r="AH283">
        <v>3.4</v>
      </c>
      <c r="AI283">
        <v>2.4</v>
      </c>
      <c r="AJ283">
        <v>3.11</v>
      </c>
      <c r="AK283">
        <v>3.55</v>
      </c>
      <c r="AL283">
        <v>2.4</v>
      </c>
      <c r="AM283">
        <v>3</v>
      </c>
      <c r="AN283">
        <v>3.2</v>
      </c>
      <c r="AO283">
        <v>2.2999999999999998</v>
      </c>
      <c r="AP283">
        <v>3.13</v>
      </c>
      <c r="AQ283">
        <v>3.13</v>
      </c>
      <c r="AR283">
        <v>2.4</v>
      </c>
      <c r="AS283">
        <v>3</v>
      </c>
      <c r="AT283">
        <v>3.6</v>
      </c>
      <c r="AU283">
        <v>50</v>
      </c>
      <c r="AV283">
        <v>2.44</v>
      </c>
      <c r="AW283">
        <v>2.34</v>
      </c>
      <c r="AX283">
        <v>3.3</v>
      </c>
      <c r="AY283">
        <v>3.08</v>
      </c>
      <c r="AZ283">
        <v>3.6</v>
      </c>
      <c r="BA283">
        <v>3.26</v>
      </c>
      <c r="BB283">
        <v>38</v>
      </c>
      <c r="BC283">
        <v>2.5499999999999998</v>
      </c>
      <c r="BD283">
        <v>2.38</v>
      </c>
      <c r="BE283">
        <v>1.63</v>
      </c>
      <c r="BF283">
        <v>1.55</v>
      </c>
      <c r="BG283">
        <v>24</v>
      </c>
      <c r="BH283">
        <v>-0.25</v>
      </c>
      <c r="BI283">
        <v>2.04</v>
      </c>
      <c r="BJ283">
        <v>1.99</v>
      </c>
      <c r="BK283">
        <v>1.91</v>
      </c>
      <c r="BL283">
        <v>1.87</v>
      </c>
      <c r="BM283">
        <v>2.4900000000000002</v>
      </c>
      <c r="BN283">
        <v>3.02</v>
      </c>
      <c r="BO283">
        <v>3.48</v>
      </c>
    </row>
    <row r="284" spans="1:67">
      <c r="A284" t="s">
        <v>63</v>
      </c>
      <c r="B284" s="77">
        <v>41721</v>
      </c>
      <c r="C284" t="s">
        <v>86</v>
      </c>
      <c r="D284" t="s">
        <v>65</v>
      </c>
      <c r="E284">
        <v>0</v>
      </c>
      <c r="F284">
        <v>1</v>
      </c>
      <c r="G284" t="s">
        <v>66</v>
      </c>
      <c r="H284">
        <v>0</v>
      </c>
      <c r="I284">
        <v>0</v>
      </c>
      <c r="J284" t="s">
        <v>67</v>
      </c>
      <c r="K284">
        <v>8</v>
      </c>
      <c r="L284">
        <v>13</v>
      </c>
      <c r="M284">
        <v>0</v>
      </c>
      <c r="N284">
        <v>2</v>
      </c>
      <c r="O284">
        <v>17</v>
      </c>
      <c r="P284">
        <v>20</v>
      </c>
      <c r="Q284">
        <v>7</v>
      </c>
      <c r="R284">
        <v>6</v>
      </c>
      <c r="S284">
        <v>2</v>
      </c>
      <c r="T284">
        <v>1</v>
      </c>
      <c r="U284">
        <v>1</v>
      </c>
      <c r="V284">
        <v>0</v>
      </c>
      <c r="W284">
        <v>8</v>
      </c>
      <c r="X284">
        <v>4.5</v>
      </c>
      <c r="Y284">
        <v>1.4</v>
      </c>
      <c r="Z284">
        <v>9</v>
      </c>
      <c r="AA284">
        <v>4.5999999999999996</v>
      </c>
      <c r="AB284">
        <v>1.35</v>
      </c>
      <c r="AC284">
        <v>7.6</v>
      </c>
      <c r="AD284">
        <v>4.8</v>
      </c>
      <c r="AE284">
        <v>1.35</v>
      </c>
      <c r="AF284">
        <v>8.5</v>
      </c>
      <c r="AG284">
        <v>4.5</v>
      </c>
      <c r="AH284">
        <v>1.4</v>
      </c>
      <c r="AI284">
        <v>9.4600000000000009</v>
      </c>
      <c r="AJ284">
        <v>4.55</v>
      </c>
      <c r="AK284">
        <v>1.44</v>
      </c>
      <c r="AL284">
        <v>8</v>
      </c>
      <c r="AM284">
        <v>4</v>
      </c>
      <c r="AN284">
        <v>1.44</v>
      </c>
      <c r="AO284">
        <v>7</v>
      </c>
      <c r="AP284">
        <v>4.33</v>
      </c>
      <c r="AQ284">
        <v>1.4</v>
      </c>
      <c r="AR284">
        <v>10</v>
      </c>
      <c r="AS284">
        <v>4.5999999999999996</v>
      </c>
      <c r="AT284">
        <v>1.4</v>
      </c>
      <c r="AU284">
        <v>50</v>
      </c>
      <c r="AV284">
        <v>9.64</v>
      </c>
      <c r="AW284">
        <v>8.1</v>
      </c>
      <c r="AX284">
        <v>4.8499999999999996</v>
      </c>
      <c r="AY284">
        <v>4.41</v>
      </c>
      <c r="AZ284">
        <v>1.47</v>
      </c>
      <c r="BA284">
        <v>1.41</v>
      </c>
      <c r="BB284">
        <v>47</v>
      </c>
      <c r="BC284">
        <v>1.96</v>
      </c>
      <c r="BD284">
        <v>1.87</v>
      </c>
      <c r="BE284">
        <v>2</v>
      </c>
      <c r="BF284">
        <v>1.91</v>
      </c>
      <c r="BG284">
        <v>24</v>
      </c>
      <c r="BH284">
        <v>1.5</v>
      </c>
      <c r="BI284">
        <v>1.73</v>
      </c>
      <c r="BJ284">
        <v>1.64</v>
      </c>
      <c r="BK284">
        <v>2.38</v>
      </c>
      <c r="BL284">
        <v>2.2599999999999998</v>
      </c>
      <c r="BM284">
        <v>7.95</v>
      </c>
      <c r="BN284">
        <v>4.76</v>
      </c>
      <c r="BO284">
        <v>1.46</v>
      </c>
    </row>
    <row r="285" spans="1:67">
      <c r="A285" t="s">
        <v>63</v>
      </c>
      <c r="B285" s="77">
        <v>41721</v>
      </c>
      <c r="C285" t="s">
        <v>73</v>
      </c>
      <c r="D285" t="s">
        <v>72</v>
      </c>
      <c r="E285">
        <v>1</v>
      </c>
      <c r="F285">
        <v>2</v>
      </c>
      <c r="G285" t="s">
        <v>66</v>
      </c>
      <c r="H285">
        <v>1</v>
      </c>
      <c r="I285">
        <v>1</v>
      </c>
      <c r="J285" t="s">
        <v>67</v>
      </c>
      <c r="K285">
        <v>23</v>
      </c>
      <c r="L285">
        <v>10</v>
      </c>
      <c r="M285">
        <v>6</v>
      </c>
      <c r="N285">
        <v>6</v>
      </c>
      <c r="O285">
        <v>17</v>
      </c>
      <c r="P285">
        <v>15</v>
      </c>
      <c r="Q285">
        <v>10</v>
      </c>
      <c r="R285">
        <v>3</v>
      </c>
      <c r="S285">
        <v>0</v>
      </c>
      <c r="T285">
        <v>4</v>
      </c>
      <c r="U285">
        <v>0</v>
      </c>
      <c r="V285">
        <v>0</v>
      </c>
      <c r="W285">
        <v>1.44</v>
      </c>
      <c r="X285">
        <v>4.2</v>
      </c>
      <c r="Y285">
        <v>7.5</v>
      </c>
      <c r="Z285">
        <v>1.45</v>
      </c>
      <c r="AA285">
        <v>4.2</v>
      </c>
      <c r="AB285">
        <v>7.25</v>
      </c>
      <c r="AC285">
        <v>1.55</v>
      </c>
      <c r="AD285">
        <v>3.9</v>
      </c>
      <c r="AE285">
        <v>5.6</v>
      </c>
      <c r="AF285">
        <v>1.5</v>
      </c>
      <c r="AG285">
        <v>4</v>
      </c>
      <c r="AH285">
        <v>7</v>
      </c>
      <c r="AI285">
        <v>1.49</v>
      </c>
      <c r="AJ285">
        <v>4.38</v>
      </c>
      <c r="AK285">
        <v>8.35</v>
      </c>
      <c r="AL285">
        <v>1.5</v>
      </c>
      <c r="AM285">
        <v>3.6</v>
      </c>
      <c r="AN285">
        <v>8</v>
      </c>
      <c r="AO285">
        <v>1.44</v>
      </c>
      <c r="AP285">
        <v>4</v>
      </c>
      <c r="AQ285">
        <v>7</v>
      </c>
      <c r="AR285">
        <v>1.5</v>
      </c>
      <c r="AS285">
        <v>4.2</v>
      </c>
      <c r="AT285">
        <v>8.5</v>
      </c>
      <c r="AU285">
        <v>50</v>
      </c>
      <c r="AV285">
        <v>1.55</v>
      </c>
      <c r="AW285">
        <v>1.48</v>
      </c>
      <c r="AX285">
        <v>4.5</v>
      </c>
      <c r="AY285">
        <v>4.0599999999999996</v>
      </c>
      <c r="AZ285">
        <v>8.9</v>
      </c>
      <c r="BA285">
        <v>7.41</v>
      </c>
      <c r="BB285">
        <v>47</v>
      </c>
      <c r="BC285">
        <v>1.97</v>
      </c>
      <c r="BD285">
        <v>1.9</v>
      </c>
      <c r="BE285">
        <v>1.97</v>
      </c>
      <c r="BF285">
        <v>1.88</v>
      </c>
      <c r="BG285">
        <v>28</v>
      </c>
      <c r="BH285">
        <v>-1</v>
      </c>
      <c r="BI285">
        <v>1.85</v>
      </c>
      <c r="BJ285">
        <v>1.81</v>
      </c>
      <c r="BK285">
        <v>2.1800000000000002</v>
      </c>
      <c r="BL285">
        <v>2.06</v>
      </c>
      <c r="BM285">
        <v>1.49</v>
      </c>
      <c r="BN285">
        <v>4.49</v>
      </c>
      <c r="BO285">
        <v>7.95</v>
      </c>
    </row>
    <row r="286" spans="1:67">
      <c r="A286" t="s">
        <v>63</v>
      </c>
      <c r="B286" s="77">
        <v>41721</v>
      </c>
      <c r="C286" t="s">
        <v>75</v>
      </c>
      <c r="D286" t="s">
        <v>69</v>
      </c>
      <c r="E286">
        <v>1</v>
      </c>
      <c r="F286">
        <v>1</v>
      </c>
      <c r="G286" t="s">
        <v>67</v>
      </c>
      <c r="H286">
        <v>0</v>
      </c>
      <c r="I286">
        <v>1</v>
      </c>
      <c r="J286" t="s">
        <v>66</v>
      </c>
      <c r="K286">
        <v>14</v>
      </c>
      <c r="L286">
        <v>10</v>
      </c>
      <c r="M286">
        <v>2</v>
      </c>
      <c r="N286">
        <v>0</v>
      </c>
      <c r="O286">
        <v>19</v>
      </c>
      <c r="P286">
        <v>13</v>
      </c>
      <c r="Q286">
        <v>6</v>
      </c>
      <c r="R286">
        <v>3</v>
      </c>
      <c r="S286">
        <v>3</v>
      </c>
      <c r="T286">
        <v>2</v>
      </c>
      <c r="U286">
        <v>0</v>
      </c>
      <c r="V286">
        <v>0</v>
      </c>
      <c r="W286">
        <v>2.5</v>
      </c>
      <c r="X286">
        <v>3.2</v>
      </c>
      <c r="Y286">
        <v>2.88</v>
      </c>
      <c r="Z286">
        <v>2.4</v>
      </c>
      <c r="AA286">
        <v>3.2</v>
      </c>
      <c r="AB286">
        <v>3</v>
      </c>
      <c r="AC286">
        <v>2.2999999999999998</v>
      </c>
      <c r="AD286">
        <v>3.3</v>
      </c>
      <c r="AE286">
        <v>2.9</v>
      </c>
      <c r="AF286">
        <v>2.37</v>
      </c>
      <c r="AG286">
        <v>3.3</v>
      </c>
      <c r="AH286">
        <v>3</v>
      </c>
      <c r="AI286">
        <v>2.5099999999999998</v>
      </c>
      <c r="AJ286">
        <v>3.35</v>
      </c>
      <c r="AK286">
        <v>3.09</v>
      </c>
      <c r="AL286">
        <v>2.5</v>
      </c>
      <c r="AM286">
        <v>3</v>
      </c>
      <c r="AN286">
        <v>3</v>
      </c>
      <c r="AO286">
        <v>2.38</v>
      </c>
      <c r="AP286">
        <v>3.25</v>
      </c>
      <c r="AQ286">
        <v>2.88</v>
      </c>
      <c r="AR286">
        <v>2.5</v>
      </c>
      <c r="AS286">
        <v>3.3</v>
      </c>
      <c r="AT286">
        <v>3.12</v>
      </c>
      <c r="AU286">
        <v>50</v>
      </c>
      <c r="AV286">
        <v>2.5499999999999998</v>
      </c>
      <c r="AW286">
        <v>2.44</v>
      </c>
      <c r="AX286">
        <v>3.4</v>
      </c>
      <c r="AY286">
        <v>3.24</v>
      </c>
      <c r="AZ286">
        <v>3.13</v>
      </c>
      <c r="BA286">
        <v>2.93</v>
      </c>
      <c r="BB286">
        <v>46</v>
      </c>
      <c r="BC286">
        <v>2.12</v>
      </c>
      <c r="BD286">
        <v>2.02</v>
      </c>
      <c r="BE286">
        <v>1.89</v>
      </c>
      <c r="BF286">
        <v>1.76</v>
      </c>
      <c r="BG286">
        <v>25</v>
      </c>
      <c r="BH286">
        <v>0</v>
      </c>
      <c r="BI286">
        <v>1.78</v>
      </c>
      <c r="BJ286">
        <v>1.73</v>
      </c>
      <c r="BK286">
        <v>2.21</v>
      </c>
      <c r="BL286">
        <v>2.13</v>
      </c>
      <c r="BM286">
        <v>2.52</v>
      </c>
      <c r="BN286">
        <v>3.29</v>
      </c>
      <c r="BO286">
        <v>3.14</v>
      </c>
    </row>
    <row r="287" spans="1:67">
      <c r="A287" t="s">
        <v>63</v>
      </c>
      <c r="B287" s="77">
        <v>41721</v>
      </c>
      <c r="C287" t="s">
        <v>79</v>
      </c>
      <c r="D287" t="s">
        <v>85</v>
      </c>
      <c r="E287">
        <v>0</v>
      </c>
      <c r="F287">
        <v>1</v>
      </c>
      <c r="G287" t="s">
        <v>66</v>
      </c>
      <c r="H287">
        <v>0</v>
      </c>
      <c r="I287">
        <v>0</v>
      </c>
      <c r="J287" t="s">
        <v>67</v>
      </c>
      <c r="K287">
        <v>12</v>
      </c>
      <c r="L287">
        <v>13</v>
      </c>
      <c r="M287">
        <v>5</v>
      </c>
      <c r="N287">
        <v>4</v>
      </c>
      <c r="O287">
        <v>14</v>
      </c>
      <c r="P287">
        <v>10</v>
      </c>
      <c r="Q287">
        <v>5</v>
      </c>
      <c r="R287">
        <v>4</v>
      </c>
      <c r="S287">
        <v>1</v>
      </c>
      <c r="T287">
        <v>1</v>
      </c>
      <c r="U287">
        <v>1</v>
      </c>
      <c r="V287">
        <v>0</v>
      </c>
      <c r="W287">
        <v>1.83</v>
      </c>
      <c r="X287">
        <v>3.5</v>
      </c>
      <c r="Y287">
        <v>4.33</v>
      </c>
      <c r="Z287">
        <v>1.85</v>
      </c>
      <c r="AA287">
        <v>3.6</v>
      </c>
      <c r="AB287">
        <v>4</v>
      </c>
      <c r="AC287">
        <v>1.9</v>
      </c>
      <c r="AD287">
        <v>3.45</v>
      </c>
      <c r="AE287">
        <v>3.8</v>
      </c>
      <c r="AF287">
        <v>1.9</v>
      </c>
      <c r="AG287">
        <v>3.5</v>
      </c>
      <c r="AH287">
        <v>4</v>
      </c>
      <c r="AI287">
        <v>1.84</v>
      </c>
      <c r="AJ287">
        <v>3.7</v>
      </c>
      <c r="AK287">
        <v>4.8600000000000003</v>
      </c>
      <c r="AL287">
        <v>1.85</v>
      </c>
      <c r="AM287">
        <v>3.3</v>
      </c>
      <c r="AN287">
        <v>4.5</v>
      </c>
      <c r="AO287">
        <v>1.8</v>
      </c>
      <c r="AP287">
        <v>3.4</v>
      </c>
      <c r="AQ287">
        <v>4.33</v>
      </c>
      <c r="AR287">
        <v>1.83</v>
      </c>
      <c r="AS287">
        <v>3.6</v>
      </c>
      <c r="AT287">
        <v>4.5999999999999996</v>
      </c>
      <c r="AU287">
        <v>50</v>
      </c>
      <c r="AV287">
        <v>1.9</v>
      </c>
      <c r="AW287">
        <v>1.83</v>
      </c>
      <c r="AX287">
        <v>3.8</v>
      </c>
      <c r="AY287">
        <v>3.5</v>
      </c>
      <c r="AZ287">
        <v>4.87</v>
      </c>
      <c r="BA287">
        <v>4.43</v>
      </c>
      <c r="BB287">
        <v>47</v>
      </c>
      <c r="BC287">
        <v>1.98</v>
      </c>
      <c r="BD287">
        <v>1.89</v>
      </c>
      <c r="BE287">
        <v>1.97</v>
      </c>
      <c r="BF287">
        <v>1.88</v>
      </c>
      <c r="BG287">
        <v>25</v>
      </c>
      <c r="BH287">
        <v>-0.5</v>
      </c>
      <c r="BI287">
        <v>1.86</v>
      </c>
      <c r="BJ287">
        <v>1.81</v>
      </c>
      <c r="BK287">
        <v>2.12</v>
      </c>
      <c r="BL287">
        <v>2.04</v>
      </c>
      <c r="BM287">
        <v>1.81</v>
      </c>
      <c r="BN287">
        <v>3.8</v>
      </c>
      <c r="BO287">
        <v>4.93</v>
      </c>
    </row>
    <row r="288" spans="1:67">
      <c r="A288" t="s">
        <v>63</v>
      </c>
      <c r="B288" s="77">
        <v>41721</v>
      </c>
      <c r="C288" t="s">
        <v>81</v>
      </c>
      <c r="D288" t="s">
        <v>74</v>
      </c>
      <c r="E288">
        <v>1</v>
      </c>
      <c r="F288">
        <v>1</v>
      </c>
      <c r="G288" t="s">
        <v>67</v>
      </c>
      <c r="H288">
        <v>1</v>
      </c>
      <c r="I288">
        <v>1</v>
      </c>
      <c r="J288" t="s">
        <v>67</v>
      </c>
      <c r="K288">
        <v>16</v>
      </c>
      <c r="L288">
        <v>5</v>
      </c>
      <c r="M288">
        <v>3</v>
      </c>
      <c r="N288">
        <v>2</v>
      </c>
      <c r="O288">
        <v>16</v>
      </c>
      <c r="P288">
        <v>25</v>
      </c>
      <c r="Q288">
        <v>5</v>
      </c>
      <c r="R288">
        <v>6</v>
      </c>
      <c r="S288">
        <v>2</v>
      </c>
      <c r="T288">
        <v>3</v>
      </c>
      <c r="U288">
        <v>0</v>
      </c>
      <c r="V288">
        <v>0</v>
      </c>
      <c r="W288">
        <v>1.57</v>
      </c>
      <c r="X288">
        <v>3.75</v>
      </c>
      <c r="Y288">
        <v>6</v>
      </c>
      <c r="Z288">
        <v>1.6</v>
      </c>
      <c r="AA288">
        <v>3.7</v>
      </c>
      <c r="AB288">
        <v>6</v>
      </c>
      <c r="AC288">
        <v>1.7</v>
      </c>
      <c r="AD288">
        <v>3.6</v>
      </c>
      <c r="AE288">
        <v>4.7</v>
      </c>
      <c r="AF288">
        <v>1.61</v>
      </c>
      <c r="AG288">
        <v>3.75</v>
      </c>
      <c r="AH288">
        <v>5.5</v>
      </c>
      <c r="AI288">
        <v>1.62</v>
      </c>
      <c r="AJ288">
        <v>3.9</v>
      </c>
      <c r="AK288">
        <v>6.85</v>
      </c>
      <c r="AL288">
        <v>1.67</v>
      </c>
      <c r="AM288">
        <v>3.3</v>
      </c>
      <c r="AN288">
        <v>6</v>
      </c>
      <c r="AO288">
        <v>1.62</v>
      </c>
      <c r="AP288">
        <v>3.6</v>
      </c>
      <c r="AQ288">
        <v>5.5</v>
      </c>
      <c r="AR288">
        <v>1.65</v>
      </c>
      <c r="AS288">
        <v>3.75</v>
      </c>
      <c r="AT288">
        <v>6.5</v>
      </c>
      <c r="AU288">
        <v>50</v>
      </c>
      <c r="AV288">
        <v>1.7</v>
      </c>
      <c r="AW288">
        <v>1.62</v>
      </c>
      <c r="AX288">
        <v>4</v>
      </c>
      <c r="AY288">
        <v>3.68</v>
      </c>
      <c r="AZ288">
        <v>7.1</v>
      </c>
      <c r="BA288">
        <v>5.84</v>
      </c>
      <c r="BB288">
        <v>46</v>
      </c>
      <c r="BC288">
        <v>2.1</v>
      </c>
      <c r="BD288">
        <v>2.02</v>
      </c>
      <c r="BE288">
        <v>1.89</v>
      </c>
      <c r="BF288">
        <v>1.77</v>
      </c>
      <c r="BG288">
        <v>26</v>
      </c>
      <c r="BH288">
        <v>-1</v>
      </c>
      <c r="BI288">
        <v>2.2000000000000002</v>
      </c>
      <c r="BJ288">
        <v>2.1</v>
      </c>
      <c r="BK288">
        <v>1.86</v>
      </c>
      <c r="BL288">
        <v>1.76</v>
      </c>
      <c r="BM288">
        <v>1.62</v>
      </c>
      <c r="BN288">
        <v>3.84</v>
      </c>
      <c r="BO288">
        <v>7.11</v>
      </c>
    </row>
    <row r="289" spans="1:67">
      <c r="A289" t="s">
        <v>63</v>
      </c>
      <c r="B289" s="77">
        <v>41721</v>
      </c>
      <c r="C289" t="s">
        <v>64</v>
      </c>
      <c r="D289" t="s">
        <v>68</v>
      </c>
      <c r="E289">
        <v>5</v>
      </c>
      <c r="F289">
        <v>0</v>
      </c>
      <c r="G289" t="s">
        <v>70</v>
      </c>
      <c r="H289">
        <v>3</v>
      </c>
      <c r="I289">
        <v>0</v>
      </c>
      <c r="J289" t="s">
        <v>70</v>
      </c>
      <c r="K289">
        <v>15</v>
      </c>
      <c r="L289">
        <v>20</v>
      </c>
      <c r="M289">
        <v>9</v>
      </c>
      <c r="N289">
        <v>7</v>
      </c>
      <c r="O289">
        <v>14</v>
      </c>
      <c r="P289">
        <v>19</v>
      </c>
      <c r="Q289">
        <v>1</v>
      </c>
      <c r="R289">
        <v>9</v>
      </c>
      <c r="S289">
        <v>2</v>
      </c>
      <c r="T289">
        <v>2</v>
      </c>
      <c r="U289">
        <v>0</v>
      </c>
      <c r="V289">
        <v>0</v>
      </c>
      <c r="W289">
        <v>2</v>
      </c>
      <c r="X289">
        <v>3.3</v>
      </c>
      <c r="Y289">
        <v>3.8</v>
      </c>
      <c r="Z289">
        <v>2.0499999999999998</v>
      </c>
      <c r="AA289">
        <v>3.2</v>
      </c>
      <c r="AB289">
        <v>3.8</v>
      </c>
      <c r="AC289">
        <v>1.95</v>
      </c>
      <c r="AD289">
        <v>3.25</v>
      </c>
      <c r="AE289">
        <v>3.9</v>
      </c>
      <c r="AF289">
        <v>2.1</v>
      </c>
      <c r="AG289">
        <v>3.3</v>
      </c>
      <c r="AH289">
        <v>3.5</v>
      </c>
      <c r="AI289">
        <v>2.02</v>
      </c>
      <c r="AJ289">
        <v>3.39</v>
      </c>
      <c r="AK289">
        <v>4.3499999999999996</v>
      </c>
      <c r="AL289">
        <v>2.0499999999999998</v>
      </c>
      <c r="AM289">
        <v>3.1</v>
      </c>
      <c r="AN289">
        <v>4</v>
      </c>
      <c r="AO289">
        <v>1.95</v>
      </c>
      <c r="AP289">
        <v>3.25</v>
      </c>
      <c r="AQ289">
        <v>3.8</v>
      </c>
      <c r="AR289">
        <v>2</v>
      </c>
      <c r="AS289">
        <v>3.4</v>
      </c>
      <c r="AT289">
        <v>4.33</v>
      </c>
      <c r="AU289">
        <v>50</v>
      </c>
      <c r="AV289">
        <v>2.1</v>
      </c>
      <c r="AW289">
        <v>2</v>
      </c>
      <c r="AX289">
        <v>3.4</v>
      </c>
      <c r="AY289">
        <v>3.28</v>
      </c>
      <c r="AZ289">
        <v>4.3600000000000003</v>
      </c>
      <c r="BA289">
        <v>3.91</v>
      </c>
      <c r="BB289">
        <v>46</v>
      </c>
      <c r="BC289">
        <v>2.15</v>
      </c>
      <c r="BD289">
        <v>2.0299999999999998</v>
      </c>
      <c r="BE289">
        <v>1.83</v>
      </c>
      <c r="BF289">
        <v>1.76</v>
      </c>
      <c r="BG289">
        <v>25</v>
      </c>
      <c r="BH289">
        <v>-0.5</v>
      </c>
      <c r="BI289">
        <v>2.12</v>
      </c>
      <c r="BJ289">
        <v>1.99</v>
      </c>
      <c r="BK289">
        <v>1.92</v>
      </c>
      <c r="BL289">
        <v>1.86</v>
      </c>
      <c r="BM289">
        <v>2.04</v>
      </c>
      <c r="BN289">
        <v>3.32</v>
      </c>
      <c r="BO289">
        <v>4.37</v>
      </c>
    </row>
    <row r="290" spans="1:67">
      <c r="A290" t="s">
        <v>63</v>
      </c>
      <c r="B290" s="77">
        <v>41721</v>
      </c>
      <c r="C290" t="s">
        <v>76</v>
      </c>
      <c r="D290" t="s">
        <v>84</v>
      </c>
      <c r="E290">
        <v>1</v>
      </c>
      <c r="F290">
        <v>0</v>
      </c>
      <c r="G290" t="s">
        <v>70</v>
      </c>
      <c r="H290">
        <v>1</v>
      </c>
      <c r="I290">
        <v>0</v>
      </c>
      <c r="J290" t="s">
        <v>70</v>
      </c>
      <c r="K290">
        <v>13</v>
      </c>
      <c r="L290">
        <v>14</v>
      </c>
      <c r="M290">
        <v>2</v>
      </c>
      <c r="N290">
        <v>1</v>
      </c>
      <c r="O290">
        <v>13</v>
      </c>
      <c r="P290">
        <v>21</v>
      </c>
      <c r="Q290">
        <v>7</v>
      </c>
      <c r="R290">
        <v>11</v>
      </c>
      <c r="S290">
        <v>2</v>
      </c>
      <c r="T290">
        <v>3</v>
      </c>
      <c r="U290">
        <v>0</v>
      </c>
      <c r="V290">
        <v>0</v>
      </c>
      <c r="W290">
        <v>1.62</v>
      </c>
      <c r="X290">
        <v>3.6</v>
      </c>
      <c r="Y290">
        <v>6</v>
      </c>
      <c r="Z290">
        <v>1.6</v>
      </c>
      <c r="AA290">
        <v>3.7</v>
      </c>
      <c r="AB290">
        <v>6</v>
      </c>
      <c r="AC290">
        <v>1.6</v>
      </c>
      <c r="AD290">
        <v>3.7</v>
      </c>
      <c r="AE290">
        <v>5.4</v>
      </c>
      <c r="AF290">
        <v>1.6</v>
      </c>
      <c r="AG290">
        <v>3.75</v>
      </c>
      <c r="AH290">
        <v>6</v>
      </c>
      <c r="AI290">
        <v>1.6</v>
      </c>
      <c r="AJ290">
        <v>4.0199999999999996</v>
      </c>
      <c r="AK290">
        <v>6.83</v>
      </c>
      <c r="AL290">
        <v>1.62</v>
      </c>
      <c r="AM290">
        <v>3.4</v>
      </c>
      <c r="AN290">
        <v>6.5</v>
      </c>
      <c r="AO290">
        <v>1.53</v>
      </c>
      <c r="AP290">
        <v>3.8</v>
      </c>
      <c r="AQ290">
        <v>5.8</v>
      </c>
      <c r="AR290">
        <v>1.62</v>
      </c>
      <c r="AS290">
        <v>3.8</v>
      </c>
      <c r="AT290">
        <v>7</v>
      </c>
      <c r="AU290">
        <v>48</v>
      </c>
      <c r="AV290">
        <v>1.65</v>
      </c>
      <c r="AW290">
        <v>1.59</v>
      </c>
      <c r="AX290">
        <v>4.0999999999999996</v>
      </c>
      <c r="AY290">
        <v>3.78</v>
      </c>
      <c r="AZ290">
        <v>7</v>
      </c>
      <c r="BA290">
        <v>6.16</v>
      </c>
      <c r="BB290">
        <v>44</v>
      </c>
      <c r="BC290">
        <v>2.1800000000000002</v>
      </c>
      <c r="BD290">
        <v>2.02</v>
      </c>
      <c r="BE290">
        <v>1.86</v>
      </c>
      <c r="BF290">
        <v>1.77</v>
      </c>
      <c r="BG290">
        <v>28</v>
      </c>
      <c r="BH290">
        <v>-1</v>
      </c>
      <c r="BI290">
        <v>2.12</v>
      </c>
      <c r="BJ290">
        <v>2.06</v>
      </c>
      <c r="BK290">
        <v>1.91</v>
      </c>
      <c r="BL290">
        <v>1.8</v>
      </c>
      <c r="BM290">
        <v>1.6</v>
      </c>
      <c r="BN290">
        <v>4.04</v>
      </c>
      <c r="BO290">
        <v>6.83</v>
      </c>
    </row>
    <row r="291" spans="1:67">
      <c r="A291" t="s">
        <v>63</v>
      </c>
      <c r="B291" s="77">
        <v>41723</v>
      </c>
      <c r="C291" t="s">
        <v>78</v>
      </c>
      <c r="D291" t="s">
        <v>83</v>
      </c>
      <c r="E291">
        <v>2</v>
      </c>
      <c r="F291">
        <v>1</v>
      </c>
      <c r="G291" t="s">
        <v>70</v>
      </c>
      <c r="H291">
        <v>1</v>
      </c>
      <c r="I291">
        <v>0</v>
      </c>
      <c r="J291" t="s">
        <v>70</v>
      </c>
      <c r="K291">
        <v>23</v>
      </c>
      <c r="L291">
        <v>12</v>
      </c>
      <c r="M291">
        <v>9</v>
      </c>
      <c r="N291">
        <v>2</v>
      </c>
      <c r="O291">
        <v>15</v>
      </c>
      <c r="P291">
        <v>10</v>
      </c>
      <c r="Q291">
        <v>7</v>
      </c>
      <c r="R291">
        <v>2</v>
      </c>
      <c r="S291">
        <v>2</v>
      </c>
      <c r="T291">
        <v>4</v>
      </c>
      <c r="U291">
        <v>0</v>
      </c>
      <c r="V291">
        <v>0</v>
      </c>
      <c r="W291">
        <v>1.4</v>
      </c>
      <c r="X291">
        <v>4.5</v>
      </c>
      <c r="Y291">
        <v>8</v>
      </c>
      <c r="Z291">
        <v>1.4</v>
      </c>
      <c r="AA291">
        <v>4.5</v>
      </c>
      <c r="AB291">
        <v>7.5</v>
      </c>
      <c r="AC291">
        <v>1.37</v>
      </c>
      <c r="AD291">
        <v>4.5999999999999996</v>
      </c>
      <c r="AE291">
        <v>7.5</v>
      </c>
      <c r="AF291">
        <v>1.4</v>
      </c>
      <c r="AG291">
        <v>4.5</v>
      </c>
      <c r="AH291">
        <v>8</v>
      </c>
      <c r="AI291">
        <v>1.41</v>
      </c>
      <c r="AJ291">
        <v>4.5999999999999996</v>
      </c>
      <c r="AK291">
        <v>10.45</v>
      </c>
      <c r="AL291">
        <v>1.4</v>
      </c>
      <c r="AM291">
        <v>4.5</v>
      </c>
      <c r="AN291">
        <v>8</v>
      </c>
      <c r="AO291">
        <v>1.4</v>
      </c>
      <c r="AP291">
        <v>4.33</v>
      </c>
      <c r="AQ291">
        <v>8</v>
      </c>
      <c r="AR291">
        <v>1.4</v>
      </c>
      <c r="AS291">
        <v>4.5999999999999996</v>
      </c>
      <c r="AT291">
        <v>10.5</v>
      </c>
      <c r="AU291">
        <v>49</v>
      </c>
      <c r="AV291">
        <v>1.43</v>
      </c>
      <c r="AW291">
        <v>1.4</v>
      </c>
      <c r="AX291">
        <v>5</v>
      </c>
      <c r="AY291">
        <v>4.47</v>
      </c>
      <c r="AZ291">
        <v>10.5</v>
      </c>
      <c r="BA291">
        <v>8.7100000000000009</v>
      </c>
      <c r="BB291">
        <v>44</v>
      </c>
      <c r="BC291">
        <v>1.95</v>
      </c>
      <c r="BD291">
        <v>1.84</v>
      </c>
      <c r="BE291">
        <v>2.08</v>
      </c>
      <c r="BF291">
        <v>1.94</v>
      </c>
      <c r="BG291">
        <v>26</v>
      </c>
      <c r="BH291">
        <v>-1.5</v>
      </c>
      <c r="BI291">
        <v>2.34</v>
      </c>
      <c r="BJ291">
        <v>2.2200000000000002</v>
      </c>
      <c r="BK291">
        <v>1.75</v>
      </c>
      <c r="BL291">
        <v>1.68</v>
      </c>
      <c r="BM291">
        <v>1.42</v>
      </c>
      <c r="BN291">
        <v>4.71</v>
      </c>
      <c r="BO291">
        <v>9.81</v>
      </c>
    </row>
    <row r="292" spans="1:67">
      <c r="A292" t="s">
        <v>63</v>
      </c>
      <c r="B292" s="77">
        <v>41724</v>
      </c>
      <c r="C292" t="s">
        <v>72</v>
      </c>
      <c r="D292" t="s">
        <v>77</v>
      </c>
      <c r="E292">
        <v>2</v>
      </c>
      <c r="F292">
        <v>0</v>
      </c>
      <c r="G292" t="s">
        <v>70</v>
      </c>
      <c r="H292">
        <v>1</v>
      </c>
      <c r="I292">
        <v>0</v>
      </c>
      <c r="J292" t="s">
        <v>70</v>
      </c>
      <c r="K292">
        <v>13</v>
      </c>
      <c r="L292">
        <v>11</v>
      </c>
      <c r="M292">
        <v>4</v>
      </c>
      <c r="N292">
        <v>3</v>
      </c>
      <c r="O292">
        <v>15</v>
      </c>
      <c r="P292">
        <v>19</v>
      </c>
      <c r="Q292">
        <v>5</v>
      </c>
      <c r="R292">
        <v>3</v>
      </c>
      <c r="S292">
        <v>0</v>
      </c>
      <c r="T292">
        <v>1</v>
      </c>
      <c r="U292">
        <v>0</v>
      </c>
      <c r="V292">
        <v>0</v>
      </c>
      <c r="W292">
        <v>1.83</v>
      </c>
      <c r="X292">
        <v>3.4</v>
      </c>
      <c r="Y292">
        <v>4.5</v>
      </c>
      <c r="Z292">
        <v>1.78</v>
      </c>
      <c r="AA292">
        <v>3.4</v>
      </c>
      <c r="AB292">
        <v>4.75</v>
      </c>
      <c r="AC292">
        <v>1.75</v>
      </c>
      <c r="AD292">
        <v>3.5</v>
      </c>
      <c r="AE292">
        <v>4.5</v>
      </c>
      <c r="AF292">
        <v>1.8</v>
      </c>
      <c r="AG292">
        <v>3.5</v>
      </c>
      <c r="AH292">
        <v>4.5</v>
      </c>
      <c r="AI292">
        <v>1.83</v>
      </c>
      <c r="AJ292">
        <v>3.58</v>
      </c>
      <c r="AK292">
        <v>5.15</v>
      </c>
      <c r="AL292">
        <v>1.8</v>
      </c>
      <c r="AM292">
        <v>3.5</v>
      </c>
      <c r="AN292">
        <v>4.5999999999999996</v>
      </c>
      <c r="AO292">
        <v>1.8</v>
      </c>
      <c r="AP292">
        <v>3.3</v>
      </c>
      <c r="AQ292">
        <v>4.5</v>
      </c>
      <c r="AR292">
        <v>1.85</v>
      </c>
      <c r="AS292">
        <v>3.5</v>
      </c>
      <c r="AT292">
        <v>5</v>
      </c>
      <c r="AU292">
        <v>49</v>
      </c>
      <c r="AV292">
        <v>1.85</v>
      </c>
      <c r="AW292">
        <v>1.8</v>
      </c>
      <c r="AX292">
        <v>3.6</v>
      </c>
      <c r="AY292">
        <v>3.44</v>
      </c>
      <c r="AZ292">
        <v>5.2</v>
      </c>
      <c r="BA292">
        <v>4.71</v>
      </c>
      <c r="BB292">
        <v>46</v>
      </c>
      <c r="BC292">
        <v>2.2999999999999998</v>
      </c>
      <c r="BD292">
        <v>2.13</v>
      </c>
      <c r="BE292">
        <v>1.75</v>
      </c>
      <c r="BF292">
        <v>1.69</v>
      </c>
      <c r="BG292">
        <v>24</v>
      </c>
      <c r="BH292">
        <v>-0.5</v>
      </c>
      <c r="BI292">
        <v>1.84</v>
      </c>
      <c r="BJ292">
        <v>1.79</v>
      </c>
      <c r="BK292">
        <v>2.14</v>
      </c>
      <c r="BL292">
        <v>2.06</v>
      </c>
      <c r="BM292">
        <v>1.93</v>
      </c>
      <c r="BN292">
        <v>3.52</v>
      </c>
      <c r="BO292">
        <v>4.5999999999999996</v>
      </c>
    </row>
    <row r="293" spans="1:67">
      <c r="A293" t="s">
        <v>63</v>
      </c>
      <c r="B293" s="77">
        <v>41724</v>
      </c>
      <c r="C293" t="s">
        <v>71</v>
      </c>
      <c r="D293" t="s">
        <v>68</v>
      </c>
      <c r="E293">
        <v>1</v>
      </c>
      <c r="F293">
        <v>0</v>
      </c>
      <c r="G293" t="s">
        <v>70</v>
      </c>
      <c r="H293">
        <v>1</v>
      </c>
      <c r="I293">
        <v>0</v>
      </c>
      <c r="J293" t="s">
        <v>70</v>
      </c>
      <c r="K293">
        <v>17</v>
      </c>
      <c r="L293">
        <v>9</v>
      </c>
      <c r="M293">
        <v>4</v>
      </c>
      <c r="N293">
        <v>1</v>
      </c>
      <c r="O293">
        <v>13</v>
      </c>
      <c r="P293">
        <v>12</v>
      </c>
      <c r="Q293">
        <v>10</v>
      </c>
      <c r="R293">
        <v>5</v>
      </c>
      <c r="S293">
        <v>4</v>
      </c>
      <c r="T293">
        <v>2</v>
      </c>
      <c r="U293">
        <v>0</v>
      </c>
      <c r="V293">
        <v>0</v>
      </c>
      <c r="W293">
        <v>2.1</v>
      </c>
      <c r="X293">
        <v>3.25</v>
      </c>
      <c r="Y293">
        <v>3.5</v>
      </c>
      <c r="Z293">
        <v>2.0499999999999998</v>
      </c>
      <c r="AA293">
        <v>3.25</v>
      </c>
      <c r="AB293">
        <v>3.7</v>
      </c>
      <c r="AC293">
        <v>2.1</v>
      </c>
      <c r="AD293">
        <v>3.2</v>
      </c>
      <c r="AE293">
        <v>3.4</v>
      </c>
      <c r="AF293">
        <v>2.1</v>
      </c>
      <c r="AG293">
        <v>3.2</v>
      </c>
      <c r="AH293">
        <v>3.6</v>
      </c>
      <c r="AI293">
        <v>2.1</v>
      </c>
      <c r="AJ293">
        <v>3.37</v>
      </c>
      <c r="AK293">
        <v>4.03</v>
      </c>
      <c r="AL293">
        <v>2.1</v>
      </c>
      <c r="AM293">
        <v>3.25</v>
      </c>
      <c r="AN293">
        <v>3.6</v>
      </c>
      <c r="AO293">
        <v>2.0499999999999998</v>
      </c>
      <c r="AP293">
        <v>3.2</v>
      </c>
      <c r="AQ293">
        <v>3.5</v>
      </c>
      <c r="AR293">
        <v>2.15</v>
      </c>
      <c r="AS293">
        <v>3.25</v>
      </c>
      <c r="AT293">
        <v>4</v>
      </c>
      <c r="AU293">
        <v>45</v>
      </c>
      <c r="AV293">
        <v>2.16</v>
      </c>
      <c r="AW293">
        <v>2.08</v>
      </c>
      <c r="AX293">
        <v>3.4</v>
      </c>
      <c r="AY293">
        <v>3.26</v>
      </c>
      <c r="AZ293">
        <v>4.03</v>
      </c>
      <c r="BA293">
        <v>3.68</v>
      </c>
      <c r="BB293">
        <v>44</v>
      </c>
      <c r="BC293">
        <v>2.2999999999999998</v>
      </c>
      <c r="BD293">
        <v>2.16</v>
      </c>
      <c r="BE293">
        <v>1.75</v>
      </c>
      <c r="BF293">
        <v>1.67</v>
      </c>
      <c r="BG293">
        <v>24</v>
      </c>
      <c r="BH293">
        <v>-0.5</v>
      </c>
      <c r="BI293">
        <v>2.11</v>
      </c>
      <c r="BJ293">
        <v>2.0699999999999998</v>
      </c>
      <c r="BK293">
        <v>1.85</v>
      </c>
      <c r="BL293">
        <v>1.79</v>
      </c>
      <c r="BM293">
        <v>2.04</v>
      </c>
      <c r="BN293">
        <v>3.36</v>
      </c>
      <c r="BO293">
        <v>4.28</v>
      </c>
    </row>
    <row r="294" spans="1:67">
      <c r="A294" t="s">
        <v>63</v>
      </c>
      <c r="B294" s="77">
        <v>41724</v>
      </c>
      <c r="C294" t="s">
        <v>86</v>
      </c>
      <c r="D294" t="s">
        <v>79</v>
      </c>
      <c r="E294">
        <v>2</v>
      </c>
      <c r="F294">
        <v>4</v>
      </c>
      <c r="G294" t="s">
        <v>66</v>
      </c>
      <c r="H294">
        <v>0</v>
      </c>
      <c r="I294">
        <v>4</v>
      </c>
      <c r="J294" t="s">
        <v>66</v>
      </c>
      <c r="K294">
        <v>18</v>
      </c>
      <c r="L294">
        <v>17</v>
      </c>
      <c r="M294">
        <v>9</v>
      </c>
      <c r="N294">
        <v>8</v>
      </c>
      <c r="O294">
        <v>12</v>
      </c>
      <c r="P294">
        <v>10</v>
      </c>
      <c r="Q294">
        <v>6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4.75</v>
      </c>
      <c r="X294">
        <v>3.6</v>
      </c>
      <c r="Y294">
        <v>1.75</v>
      </c>
      <c r="Z294">
        <v>4.5</v>
      </c>
      <c r="AA294">
        <v>3.7</v>
      </c>
      <c r="AB294">
        <v>1.75</v>
      </c>
      <c r="AC294">
        <v>4.7</v>
      </c>
      <c r="AD294">
        <v>3.6</v>
      </c>
      <c r="AE294">
        <v>1.7</v>
      </c>
      <c r="AF294">
        <v>4.8</v>
      </c>
      <c r="AG294">
        <v>3.6</v>
      </c>
      <c r="AH294">
        <v>1.72</v>
      </c>
      <c r="AI294">
        <v>5.21</v>
      </c>
      <c r="AJ294">
        <v>3.66</v>
      </c>
      <c r="AK294">
        <v>1.8</v>
      </c>
      <c r="AL294">
        <v>4.5999999999999996</v>
      </c>
      <c r="AM294">
        <v>3.5</v>
      </c>
      <c r="AN294">
        <v>1.8</v>
      </c>
      <c r="AO294">
        <v>4.5</v>
      </c>
      <c r="AP294">
        <v>3.5</v>
      </c>
      <c r="AQ294">
        <v>1.73</v>
      </c>
      <c r="AR294">
        <v>5.2</v>
      </c>
      <c r="AS294">
        <v>3.6</v>
      </c>
      <c r="AT294">
        <v>1.8</v>
      </c>
      <c r="AU294">
        <v>49</v>
      </c>
      <c r="AV294">
        <v>5.5</v>
      </c>
      <c r="AW294">
        <v>4.76</v>
      </c>
      <c r="AX294">
        <v>3.7</v>
      </c>
      <c r="AY294">
        <v>3.55</v>
      </c>
      <c r="AZ294">
        <v>1.85</v>
      </c>
      <c r="BA294">
        <v>1.77</v>
      </c>
      <c r="BB294">
        <v>47</v>
      </c>
      <c r="BC294">
        <v>2.1</v>
      </c>
      <c r="BD294">
        <v>1.99</v>
      </c>
      <c r="BE294">
        <v>1.86</v>
      </c>
      <c r="BF294">
        <v>1.79</v>
      </c>
      <c r="BG294">
        <v>24</v>
      </c>
      <c r="BH294">
        <v>0.75</v>
      </c>
      <c r="BI294">
        <v>1.9</v>
      </c>
      <c r="BJ294">
        <v>1.86</v>
      </c>
      <c r="BK294">
        <v>2.0499999999999998</v>
      </c>
      <c r="BL294">
        <v>2.0099999999999998</v>
      </c>
      <c r="BM294">
        <v>4.46</v>
      </c>
      <c r="BN294">
        <v>3.81</v>
      </c>
      <c r="BO294">
        <v>1.87</v>
      </c>
    </row>
    <row r="295" spans="1:67">
      <c r="A295" t="s">
        <v>63</v>
      </c>
      <c r="B295" s="77">
        <v>41724</v>
      </c>
      <c r="C295" t="s">
        <v>82</v>
      </c>
      <c r="D295" t="s">
        <v>80</v>
      </c>
      <c r="E295">
        <v>3</v>
      </c>
      <c r="F295">
        <v>0</v>
      </c>
      <c r="G295" t="s">
        <v>70</v>
      </c>
      <c r="H295">
        <v>1</v>
      </c>
      <c r="I295">
        <v>0</v>
      </c>
      <c r="J295" t="s">
        <v>70</v>
      </c>
      <c r="K295">
        <v>17</v>
      </c>
      <c r="L295">
        <v>11</v>
      </c>
      <c r="M295">
        <v>8</v>
      </c>
      <c r="N295">
        <v>1</v>
      </c>
      <c r="O295">
        <v>22</v>
      </c>
      <c r="P295">
        <v>19</v>
      </c>
      <c r="Q295">
        <v>5</v>
      </c>
      <c r="R295">
        <v>0</v>
      </c>
      <c r="S295">
        <v>2</v>
      </c>
      <c r="T295">
        <v>3</v>
      </c>
      <c r="U295">
        <v>0</v>
      </c>
      <c r="V295">
        <v>0</v>
      </c>
      <c r="W295">
        <v>2.1</v>
      </c>
      <c r="X295">
        <v>3</v>
      </c>
      <c r="Y295">
        <v>4</v>
      </c>
      <c r="Z295">
        <v>2.1</v>
      </c>
      <c r="AA295">
        <v>2.9</v>
      </c>
      <c r="AB295">
        <v>4.0999999999999996</v>
      </c>
      <c r="AC295">
        <v>2.1</v>
      </c>
      <c r="AD295">
        <v>3.15</v>
      </c>
      <c r="AE295">
        <v>3.45</v>
      </c>
      <c r="AF295">
        <v>2.15</v>
      </c>
      <c r="AG295">
        <v>3</v>
      </c>
      <c r="AH295">
        <v>3.75</v>
      </c>
      <c r="AI295">
        <v>2.13</v>
      </c>
      <c r="AJ295">
        <v>3.12</v>
      </c>
      <c r="AK295">
        <v>4.32</v>
      </c>
      <c r="AL295">
        <v>2.15</v>
      </c>
      <c r="AM295">
        <v>2.8</v>
      </c>
      <c r="AN295">
        <v>4.2</v>
      </c>
      <c r="AO295">
        <v>2.0499999999999998</v>
      </c>
      <c r="AP295">
        <v>3</v>
      </c>
      <c r="AQ295">
        <v>3.75</v>
      </c>
      <c r="AR295">
        <v>2.15</v>
      </c>
      <c r="AS295">
        <v>3</v>
      </c>
      <c r="AT295">
        <v>4.33</v>
      </c>
      <c r="AU295">
        <v>49</v>
      </c>
      <c r="AV295">
        <v>2.16</v>
      </c>
      <c r="AW295">
        <v>2.11</v>
      </c>
      <c r="AX295">
        <v>3.3</v>
      </c>
      <c r="AY295">
        <v>3.03</v>
      </c>
      <c r="AZ295">
        <v>4.45</v>
      </c>
      <c r="BA295">
        <v>3.95</v>
      </c>
      <c r="BB295">
        <v>38</v>
      </c>
      <c r="BC295">
        <v>2.71</v>
      </c>
      <c r="BD295">
        <v>2.57</v>
      </c>
      <c r="BE295">
        <v>1.58</v>
      </c>
      <c r="BF295">
        <v>1.48</v>
      </c>
      <c r="BG295">
        <v>23</v>
      </c>
      <c r="BH295">
        <v>-0.5</v>
      </c>
      <c r="BI295">
        <v>2.16</v>
      </c>
      <c r="BJ295">
        <v>2.1</v>
      </c>
      <c r="BK295">
        <v>1.82</v>
      </c>
      <c r="BL295">
        <v>1.76</v>
      </c>
      <c r="BM295">
        <v>2.06</v>
      </c>
      <c r="BN295">
        <v>3.1</v>
      </c>
      <c r="BO295">
        <v>4.68</v>
      </c>
    </row>
    <row r="296" spans="1:67">
      <c r="A296" t="s">
        <v>63</v>
      </c>
      <c r="B296" s="77">
        <v>41724</v>
      </c>
      <c r="C296" t="s">
        <v>85</v>
      </c>
      <c r="D296" t="s">
        <v>69</v>
      </c>
      <c r="E296">
        <v>0</v>
      </c>
      <c r="F296">
        <v>2</v>
      </c>
      <c r="G296" t="s">
        <v>66</v>
      </c>
      <c r="H296">
        <v>0</v>
      </c>
      <c r="I296">
        <v>1</v>
      </c>
      <c r="J296" t="s">
        <v>66</v>
      </c>
      <c r="K296">
        <v>10</v>
      </c>
      <c r="L296">
        <v>15</v>
      </c>
      <c r="M296">
        <v>0</v>
      </c>
      <c r="N296">
        <v>6</v>
      </c>
      <c r="O296">
        <v>16</v>
      </c>
      <c r="P296">
        <v>30</v>
      </c>
      <c r="Q296">
        <v>10</v>
      </c>
      <c r="R296">
        <v>4</v>
      </c>
      <c r="S296">
        <v>3</v>
      </c>
      <c r="T296">
        <v>7</v>
      </c>
      <c r="U296">
        <v>0</v>
      </c>
      <c r="V296">
        <v>0</v>
      </c>
      <c r="W296">
        <v>2.2000000000000002</v>
      </c>
      <c r="X296">
        <v>3.3</v>
      </c>
      <c r="Y296">
        <v>3.25</v>
      </c>
      <c r="Z296">
        <v>2.2000000000000002</v>
      </c>
      <c r="AA296">
        <v>3.4</v>
      </c>
      <c r="AB296">
        <v>3.2</v>
      </c>
      <c r="AC296">
        <v>2.1</v>
      </c>
      <c r="AD296">
        <v>3.3</v>
      </c>
      <c r="AE296">
        <v>3.3</v>
      </c>
      <c r="AF296">
        <v>2.2000000000000002</v>
      </c>
      <c r="AG296">
        <v>3.4</v>
      </c>
      <c r="AH296">
        <v>3.2</v>
      </c>
      <c r="AI296">
        <v>2.2400000000000002</v>
      </c>
      <c r="AJ296">
        <v>3.33</v>
      </c>
      <c r="AK296">
        <v>3.65</v>
      </c>
      <c r="AL296">
        <v>2.25</v>
      </c>
      <c r="AM296">
        <v>3.3</v>
      </c>
      <c r="AN296">
        <v>3.2</v>
      </c>
      <c r="AO296">
        <v>2.2000000000000002</v>
      </c>
      <c r="AP296">
        <v>3.2</v>
      </c>
      <c r="AQ296">
        <v>3.3</v>
      </c>
      <c r="AR296">
        <v>2.25</v>
      </c>
      <c r="AS296">
        <v>3.25</v>
      </c>
      <c r="AT296">
        <v>3.7</v>
      </c>
      <c r="AU296">
        <v>47</v>
      </c>
      <c r="AV296">
        <v>2.2999999999999998</v>
      </c>
      <c r="AW296">
        <v>2.19</v>
      </c>
      <c r="AX296">
        <v>3.4</v>
      </c>
      <c r="AY296">
        <v>3.28</v>
      </c>
      <c r="AZ296">
        <v>3.8</v>
      </c>
      <c r="BA296">
        <v>3.36</v>
      </c>
      <c r="BB296">
        <v>44</v>
      </c>
      <c r="BC296">
        <v>2.16</v>
      </c>
      <c r="BD296">
        <v>2.04</v>
      </c>
      <c r="BE296">
        <v>1.89</v>
      </c>
      <c r="BF296">
        <v>1.75</v>
      </c>
      <c r="BG296">
        <v>23</v>
      </c>
      <c r="BH296">
        <v>-0.25</v>
      </c>
      <c r="BI296">
        <v>1.92</v>
      </c>
      <c r="BJ296">
        <v>1.89</v>
      </c>
      <c r="BK296">
        <v>2.02</v>
      </c>
      <c r="BL296">
        <v>1.97</v>
      </c>
      <c r="BM296">
        <v>2.3199999999999998</v>
      </c>
      <c r="BN296">
        <v>3.45</v>
      </c>
      <c r="BO296">
        <v>3.36</v>
      </c>
    </row>
    <row r="297" spans="1:67">
      <c r="A297" t="s">
        <v>63</v>
      </c>
      <c r="B297" s="77">
        <v>41724</v>
      </c>
      <c r="C297" t="s">
        <v>74</v>
      </c>
      <c r="D297" t="s">
        <v>75</v>
      </c>
      <c r="E297">
        <v>2</v>
      </c>
      <c r="F297">
        <v>0</v>
      </c>
      <c r="G297" t="s">
        <v>70</v>
      </c>
      <c r="H297">
        <v>0</v>
      </c>
      <c r="I297">
        <v>0</v>
      </c>
      <c r="J297" t="s">
        <v>67</v>
      </c>
      <c r="K297">
        <v>13</v>
      </c>
      <c r="L297">
        <v>15</v>
      </c>
      <c r="M297">
        <v>6</v>
      </c>
      <c r="N297">
        <v>5</v>
      </c>
      <c r="O297">
        <v>16</v>
      </c>
      <c r="P297">
        <v>19</v>
      </c>
      <c r="Q297">
        <v>5</v>
      </c>
      <c r="R297">
        <v>3</v>
      </c>
      <c r="S297">
        <v>2</v>
      </c>
      <c r="T297">
        <v>2</v>
      </c>
      <c r="U297">
        <v>0</v>
      </c>
      <c r="V297">
        <v>1</v>
      </c>
      <c r="W297">
        <v>3</v>
      </c>
      <c r="X297">
        <v>3.2</v>
      </c>
      <c r="Y297">
        <v>2.4</v>
      </c>
      <c r="Z297">
        <v>2.9</v>
      </c>
      <c r="AA297">
        <v>3.1</v>
      </c>
      <c r="AB297">
        <v>2.5</v>
      </c>
      <c r="AC297">
        <v>2.6</v>
      </c>
      <c r="AD297">
        <v>3.2</v>
      </c>
      <c r="AE297">
        <v>2.6</v>
      </c>
      <c r="AF297">
        <v>2.87</v>
      </c>
      <c r="AG297">
        <v>3.2</v>
      </c>
      <c r="AH297">
        <v>2.5</v>
      </c>
      <c r="AI297">
        <v>3.09</v>
      </c>
      <c r="AJ297">
        <v>3.2</v>
      </c>
      <c r="AK297">
        <v>2.6</v>
      </c>
      <c r="AL297">
        <v>3</v>
      </c>
      <c r="AM297">
        <v>3.1</v>
      </c>
      <c r="AN297">
        <v>2.4500000000000002</v>
      </c>
      <c r="AO297">
        <v>2.88</v>
      </c>
      <c r="AP297">
        <v>3.13</v>
      </c>
      <c r="AQ297">
        <v>2.4</v>
      </c>
      <c r="AR297">
        <v>3.2</v>
      </c>
      <c r="AS297">
        <v>3.1</v>
      </c>
      <c r="AT297">
        <v>2.5499999999999998</v>
      </c>
      <c r="AU297">
        <v>49</v>
      </c>
      <c r="AV297">
        <v>3.2</v>
      </c>
      <c r="AW297">
        <v>2.98</v>
      </c>
      <c r="AX297">
        <v>3.25</v>
      </c>
      <c r="AY297">
        <v>3.12</v>
      </c>
      <c r="AZ297">
        <v>2.6</v>
      </c>
      <c r="BA297">
        <v>2.48</v>
      </c>
      <c r="BB297">
        <v>43</v>
      </c>
      <c r="BC297">
        <v>2.4900000000000002</v>
      </c>
      <c r="BD297">
        <v>2.33</v>
      </c>
      <c r="BE297">
        <v>1.66</v>
      </c>
      <c r="BF297">
        <v>1.57</v>
      </c>
      <c r="BG297">
        <v>25</v>
      </c>
      <c r="BH297">
        <v>0</v>
      </c>
      <c r="BI297">
        <v>2.19</v>
      </c>
      <c r="BJ297">
        <v>2.1</v>
      </c>
      <c r="BK297">
        <v>1.8</v>
      </c>
      <c r="BL297">
        <v>1.75</v>
      </c>
      <c r="BM297">
        <v>3.42</v>
      </c>
      <c r="BN297">
        <v>3.23</v>
      </c>
      <c r="BO297">
        <v>2.39</v>
      </c>
    </row>
    <row r="298" spans="1:67">
      <c r="A298" t="s">
        <v>63</v>
      </c>
      <c r="B298" s="77">
        <v>41724</v>
      </c>
      <c r="C298" t="s">
        <v>65</v>
      </c>
      <c r="D298" t="s">
        <v>81</v>
      </c>
      <c r="E298">
        <v>2</v>
      </c>
      <c r="F298">
        <v>1</v>
      </c>
      <c r="G298" t="s">
        <v>70</v>
      </c>
      <c r="H298">
        <v>2</v>
      </c>
      <c r="I298">
        <v>0</v>
      </c>
      <c r="J298" t="s">
        <v>70</v>
      </c>
      <c r="K298">
        <v>10</v>
      </c>
      <c r="L298">
        <v>9</v>
      </c>
      <c r="M298">
        <v>7</v>
      </c>
      <c r="N298">
        <v>3</v>
      </c>
      <c r="O298">
        <v>14</v>
      </c>
      <c r="P298">
        <v>8</v>
      </c>
      <c r="Q298">
        <v>6</v>
      </c>
      <c r="R298">
        <v>2</v>
      </c>
      <c r="S298">
        <v>3</v>
      </c>
      <c r="T298">
        <v>3</v>
      </c>
      <c r="U298">
        <v>0</v>
      </c>
      <c r="V298">
        <v>1</v>
      </c>
      <c r="W298">
        <v>1.33</v>
      </c>
      <c r="X298">
        <v>5</v>
      </c>
      <c r="Y298">
        <v>9</v>
      </c>
      <c r="Z298">
        <v>1.3</v>
      </c>
      <c r="AA298">
        <v>5</v>
      </c>
      <c r="AB298">
        <v>10</v>
      </c>
      <c r="AC298">
        <v>1.35</v>
      </c>
      <c r="AD298">
        <v>4.8</v>
      </c>
      <c r="AE298">
        <v>7.6</v>
      </c>
      <c r="AF298">
        <v>1.33</v>
      </c>
      <c r="AG298">
        <v>5</v>
      </c>
      <c r="AH298">
        <v>9</v>
      </c>
      <c r="AI298">
        <v>1.35</v>
      </c>
      <c r="AJ298">
        <v>5.3</v>
      </c>
      <c r="AK298">
        <v>11.29</v>
      </c>
      <c r="AL298">
        <v>1.33</v>
      </c>
      <c r="AM298">
        <v>4.5</v>
      </c>
      <c r="AN298">
        <v>10</v>
      </c>
      <c r="AO298">
        <v>1.33</v>
      </c>
      <c r="AP298">
        <v>4.8</v>
      </c>
      <c r="AQ298">
        <v>8.5</v>
      </c>
      <c r="AR298">
        <v>1.33</v>
      </c>
      <c r="AS298">
        <v>5.2</v>
      </c>
      <c r="AT298">
        <v>11</v>
      </c>
      <c r="AU298">
        <v>49</v>
      </c>
      <c r="AV298">
        <v>1.4</v>
      </c>
      <c r="AW298">
        <v>1.33</v>
      </c>
      <c r="AX298">
        <v>5.7</v>
      </c>
      <c r="AY298">
        <v>4.92</v>
      </c>
      <c r="AZ298">
        <v>11.54</v>
      </c>
      <c r="BA298">
        <v>9.67</v>
      </c>
      <c r="BB298">
        <v>46</v>
      </c>
      <c r="BC298">
        <v>1.81</v>
      </c>
      <c r="BD298">
        <v>1.74</v>
      </c>
      <c r="BE298">
        <v>2.2400000000000002</v>
      </c>
      <c r="BF298">
        <v>2.06</v>
      </c>
      <c r="BG298">
        <v>28</v>
      </c>
      <c r="BH298">
        <v>-1.5</v>
      </c>
      <c r="BI298">
        <v>2.11</v>
      </c>
      <c r="BJ298">
        <v>2.04</v>
      </c>
      <c r="BK298">
        <v>1.92</v>
      </c>
      <c r="BL298">
        <v>1.81</v>
      </c>
      <c r="BM298">
        <v>1.41</v>
      </c>
      <c r="BN298">
        <v>4.8</v>
      </c>
      <c r="BO298">
        <v>9.5299999999999994</v>
      </c>
    </row>
    <row r="299" spans="1:67">
      <c r="A299" t="s">
        <v>63</v>
      </c>
      <c r="B299" s="77">
        <v>41724</v>
      </c>
      <c r="C299" t="s">
        <v>84</v>
      </c>
      <c r="D299" t="s">
        <v>64</v>
      </c>
      <c r="E299">
        <v>1</v>
      </c>
      <c r="F299">
        <v>2</v>
      </c>
      <c r="G299" t="s">
        <v>66</v>
      </c>
      <c r="H299">
        <v>1</v>
      </c>
      <c r="I299">
        <v>1</v>
      </c>
      <c r="J299" t="s">
        <v>67</v>
      </c>
      <c r="K299">
        <v>16</v>
      </c>
      <c r="L299">
        <v>17</v>
      </c>
      <c r="M299">
        <v>6</v>
      </c>
      <c r="N299">
        <v>8</v>
      </c>
      <c r="O299">
        <v>17</v>
      </c>
      <c r="P299">
        <v>21</v>
      </c>
      <c r="Q299">
        <v>6</v>
      </c>
      <c r="R299">
        <v>1</v>
      </c>
      <c r="S299">
        <v>1</v>
      </c>
      <c r="T299">
        <v>0</v>
      </c>
      <c r="U299">
        <v>0</v>
      </c>
      <c r="V299">
        <v>1</v>
      </c>
      <c r="W299">
        <v>2.6</v>
      </c>
      <c r="X299">
        <v>3.2</v>
      </c>
      <c r="Y299">
        <v>2.75</v>
      </c>
      <c r="Z299">
        <v>2.7</v>
      </c>
      <c r="AA299">
        <v>3</v>
      </c>
      <c r="AB299">
        <v>2.8</v>
      </c>
      <c r="AC299">
        <v>2.85</v>
      </c>
      <c r="AD299">
        <v>3.2</v>
      </c>
      <c r="AE299">
        <v>2.4</v>
      </c>
      <c r="AF299">
        <v>2.7</v>
      </c>
      <c r="AG299">
        <v>3.2</v>
      </c>
      <c r="AH299">
        <v>2.62</v>
      </c>
      <c r="AI299">
        <v>2.74</v>
      </c>
      <c r="AJ299">
        <v>3.17</v>
      </c>
      <c r="AK299">
        <v>2.94</v>
      </c>
      <c r="AL299">
        <v>2.62</v>
      </c>
      <c r="AM299">
        <v>3.2</v>
      </c>
      <c r="AN299">
        <v>2.75</v>
      </c>
      <c r="AO299">
        <v>2.6</v>
      </c>
      <c r="AP299">
        <v>3.13</v>
      </c>
      <c r="AQ299">
        <v>2.75</v>
      </c>
      <c r="AR299">
        <v>2.8</v>
      </c>
      <c r="AS299">
        <v>3.1</v>
      </c>
      <c r="AT299">
        <v>2.9</v>
      </c>
      <c r="AU299">
        <v>48</v>
      </c>
      <c r="AV299">
        <v>2.85</v>
      </c>
      <c r="AW299">
        <v>2.64</v>
      </c>
      <c r="AX299">
        <v>3.3</v>
      </c>
      <c r="AY299">
        <v>3.16</v>
      </c>
      <c r="AZ299">
        <v>2.94</v>
      </c>
      <c r="BA299">
        <v>2.76</v>
      </c>
      <c r="BB299">
        <v>44</v>
      </c>
      <c r="BC299">
        <v>2.2799999999999998</v>
      </c>
      <c r="BD299">
        <v>2.1800000000000002</v>
      </c>
      <c r="BE299">
        <v>1.77</v>
      </c>
      <c r="BF299">
        <v>1.66</v>
      </c>
      <c r="BG299">
        <v>26</v>
      </c>
      <c r="BH299">
        <v>0</v>
      </c>
      <c r="BI299">
        <v>1.92</v>
      </c>
      <c r="BJ299">
        <v>1.88</v>
      </c>
      <c r="BK299">
        <v>2.04</v>
      </c>
      <c r="BL299">
        <v>1.96</v>
      </c>
      <c r="BM299">
        <v>2.23</v>
      </c>
      <c r="BN299">
        <v>3.24</v>
      </c>
      <c r="BO299">
        <v>3.83</v>
      </c>
    </row>
    <row r="300" spans="1:67">
      <c r="A300" t="s">
        <v>63</v>
      </c>
      <c r="B300" s="77">
        <v>41725</v>
      </c>
      <c r="C300" t="s">
        <v>73</v>
      </c>
      <c r="D300" t="s">
        <v>76</v>
      </c>
      <c r="E300">
        <v>0</v>
      </c>
      <c r="F300">
        <v>0</v>
      </c>
      <c r="G300" t="s">
        <v>67</v>
      </c>
      <c r="H300">
        <v>0</v>
      </c>
      <c r="I300">
        <v>0</v>
      </c>
      <c r="J300" t="s">
        <v>67</v>
      </c>
      <c r="K300">
        <v>20</v>
      </c>
      <c r="L300">
        <v>10</v>
      </c>
      <c r="M300">
        <v>3</v>
      </c>
      <c r="N300">
        <v>2</v>
      </c>
      <c r="O300">
        <v>11</v>
      </c>
      <c r="P300">
        <v>8</v>
      </c>
      <c r="Q300">
        <v>11</v>
      </c>
      <c r="R300">
        <v>3</v>
      </c>
      <c r="S300">
        <v>1</v>
      </c>
      <c r="T300">
        <v>1</v>
      </c>
      <c r="U300">
        <v>0</v>
      </c>
      <c r="V300">
        <v>0</v>
      </c>
      <c r="W300">
        <v>1.67</v>
      </c>
      <c r="X300">
        <v>3.75</v>
      </c>
      <c r="Y300">
        <v>5</v>
      </c>
      <c r="Z300">
        <v>1.65</v>
      </c>
      <c r="AA300">
        <v>3.7</v>
      </c>
      <c r="AB300">
        <v>5.25</v>
      </c>
      <c r="AC300">
        <v>1.6</v>
      </c>
      <c r="AD300">
        <v>3.7</v>
      </c>
      <c r="AE300">
        <v>5.4</v>
      </c>
      <c r="AF300">
        <v>1.66</v>
      </c>
      <c r="AG300">
        <v>3.75</v>
      </c>
      <c r="AH300">
        <v>5.5</v>
      </c>
      <c r="AI300">
        <v>1.69</v>
      </c>
      <c r="AJ300">
        <v>3.8</v>
      </c>
      <c r="AK300">
        <v>5.99</v>
      </c>
      <c r="AL300">
        <v>1.67</v>
      </c>
      <c r="AM300">
        <v>3.6</v>
      </c>
      <c r="AN300">
        <v>5.5</v>
      </c>
      <c r="AO300">
        <v>1.67</v>
      </c>
      <c r="AP300">
        <v>3.6</v>
      </c>
      <c r="AQ300">
        <v>5</v>
      </c>
      <c r="AR300">
        <v>1.7</v>
      </c>
      <c r="AS300">
        <v>3.75</v>
      </c>
      <c r="AT300">
        <v>6</v>
      </c>
      <c r="AU300">
        <v>48</v>
      </c>
      <c r="AV300">
        <v>1.71</v>
      </c>
      <c r="AW300">
        <v>1.66</v>
      </c>
      <c r="AX300">
        <v>3.85</v>
      </c>
      <c r="AY300">
        <v>3.66</v>
      </c>
      <c r="AZ300">
        <v>6.5</v>
      </c>
      <c r="BA300">
        <v>5.48</v>
      </c>
      <c r="BB300">
        <v>46</v>
      </c>
      <c r="BC300">
        <v>2.1</v>
      </c>
      <c r="BD300">
        <v>1.93</v>
      </c>
      <c r="BE300">
        <v>1.92</v>
      </c>
      <c r="BF300">
        <v>1.84</v>
      </c>
      <c r="BG300">
        <v>25</v>
      </c>
      <c r="BH300">
        <v>-1</v>
      </c>
      <c r="BI300">
        <v>2.2799999999999998</v>
      </c>
      <c r="BJ300">
        <v>2.1800000000000002</v>
      </c>
      <c r="BK300">
        <v>1.79</v>
      </c>
      <c r="BL300">
        <v>1.7</v>
      </c>
      <c r="BM300">
        <v>1.6</v>
      </c>
      <c r="BN300">
        <v>4.05</v>
      </c>
      <c r="BO300">
        <v>6.8</v>
      </c>
    </row>
    <row r="301" spans="1:67">
      <c r="A301" t="s">
        <v>63</v>
      </c>
      <c r="B301" s="77">
        <v>41727</v>
      </c>
      <c r="C301" t="s">
        <v>80</v>
      </c>
      <c r="D301" t="s">
        <v>72</v>
      </c>
      <c r="E301">
        <v>0</v>
      </c>
      <c r="F301">
        <v>2</v>
      </c>
      <c r="G301" t="s">
        <v>66</v>
      </c>
      <c r="H301">
        <v>0</v>
      </c>
      <c r="I301">
        <v>2</v>
      </c>
      <c r="J301" t="s">
        <v>66</v>
      </c>
      <c r="K301">
        <v>23</v>
      </c>
      <c r="L301">
        <v>4</v>
      </c>
      <c r="M301">
        <v>11</v>
      </c>
      <c r="N301">
        <v>3</v>
      </c>
      <c r="O301">
        <v>16</v>
      </c>
      <c r="P301">
        <v>15</v>
      </c>
      <c r="Q301">
        <v>10</v>
      </c>
      <c r="R301">
        <v>0</v>
      </c>
      <c r="S301">
        <v>2</v>
      </c>
      <c r="T301">
        <v>2</v>
      </c>
      <c r="U301">
        <v>0</v>
      </c>
      <c r="V301">
        <v>0</v>
      </c>
      <c r="W301">
        <v>2.2999999999999998</v>
      </c>
      <c r="X301">
        <v>3.1</v>
      </c>
      <c r="Y301">
        <v>3.25</v>
      </c>
      <c r="Z301">
        <v>2.4</v>
      </c>
      <c r="AA301">
        <v>3</v>
      </c>
      <c r="AB301">
        <v>3.2</v>
      </c>
      <c r="AC301">
        <v>2.2999999999999998</v>
      </c>
      <c r="AD301">
        <v>3.1</v>
      </c>
      <c r="AE301">
        <v>3.1</v>
      </c>
      <c r="AF301">
        <v>2.2999999999999998</v>
      </c>
      <c r="AG301">
        <v>3.2</v>
      </c>
      <c r="AH301">
        <v>3.1</v>
      </c>
      <c r="AI301">
        <v>2.4700000000000002</v>
      </c>
      <c r="AJ301">
        <v>3.14</v>
      </c>
      <c r="AK301">
        <v>3.38</v>
      </c>
      <c r="AL301">
        <v>2.4</v>
      </c>
      <c r="AM301">
        <v>3.1</v>
      </c>
      <c r="AN301">
        <v>3.1</v>
      </c>
      <c r="AO301">
        <v>2.2999999999999998</v>
      </c>
      <c r="AP301">
        <v>3.2</v>
      </c>
      <c r="AQ301">
        <v>3</v>
      </c>
      <c r="AR301">
        <v>2.4500000000000002</v>
      </c>
      <c r="AS301">
        <v>3</v>
      </c>
      <c r="AT301">
        <v>3.4</v>
      </c>
      <c r="AU301">
        <v>49</v>
      </c>
      <c r="AV301">
        <v>2.4500000000000002</v>
      </c>
      <c r="AW301">
        <v>2.36</v>
      </c>
      <c r="AX301">
        <v>3.3</v>
      </c>
      <c r="AY301">
        <v>3.11</v>
      </c>
      <c r="AZ301">
        <v>3.46</v>
      </c>
      <c r="BA301">
        <v>3.18</v>
      </c>
      <c r="BB301">
        <v>42</v>
      </c>
      <c r="BC301">
        <v>2.56</v>
      </c>
      <c r="BD301">
        <v>2.39</v>
      </c>
      <c r="BE301">
        <v>1.61</v>
      </c>
      <c r="BF301">
        <v>1.55</v>
      </c>
      <c r="BG301">
        <v>24</v>
      </c>
      <c r="BH301">
        <v>-0.25</v>
      </c>
      <c r="BI301">
        <v>2.09</v>
      </c>
      <c r="BJ301">
        <v>2.0099999999999998</v>
      </c>
      <c r="BK301">
        <v>1.9</v>
      </c>
      <c r="BL301">
        <v>1.85</v>
      </c>
      <c r="BM301">
        <v>2.52</v>
      </c>
      <c r="BN301">
        <v>3.18</v>
      </c>
      <c r="BO301">
        <v>3.24</v>
      </c>
    </row>
    <row r="302" spans="1:67">
      <c r="A302" t="s">
        <v>63</v>
      </c>
      <c r="B302" s="77">
        <v>41727</v>
      </c>
      <c r="C302" t="s">
        <v>69</v>
      </c>
      <c r="D302" t="s">
        <v>82</v>
      </c>
      <c r="E302">
        <v>3</v>
      </c>
      <c r="F302">
        <v>0</v>
      </c>
      <c r="G302" t="s">
        <v>70</v>
      </c>
      <c r="H302">
        <v>2</v>
      </c>
      <c r="I302">
        <v>0</v>
      </c>
      <c r="J302" t="s">
        <v>70</v>
      </c>
      <c r="K302">
        <v>17</v>
      </c>
      <c r="L302">
        <v>8</v>
      </c>
      <c r="M302">
        <v>5</v>
      </c>
      <c r="N302">
        <v>1</v>
      </c>
      <c r="O302">
        <v>16</v>
      </c>
      <c r="P302">
        <v>11</v>
      </c>
      <c r="Q302">
        <v>11</v>
      </c>
      <c r="R302">
        <v>4</v>
      </c>
      <c r="S302">
        <v>0</v>
      </c>
      <c r="T302">
        <v>0</v>
      </c>
      <c r="U302">
        <v>0</v>
      </c>
      <c r="V302">
        <v>0</v>
      </c>
      <c r="W302">
        <v>1.4</v>
      </c>
      <c r="X302">
        <v>4.5</v>
      </c>
      <c r="Y302">
        <v>8</v>
      </c>
      <c r="Z302">
        <v>1.4</v>
      </c>
      <c r="AA302">
        <v>4.5</v>
      </c>
      <c r="AB302">
        <v>7.5</v>
      </c>
      <c r="AC302">
        <v>1.4</v>
      </c>
      <c r="AD302">
        <v>4.4000000000000004</v>
      </c>
      <c r="AE302">
        <v>7.3</v>
      </c>
      <c r="AF302">
        <v>1.44</v>
      </c>
      <c r="AG302">
        <v>4.2</v>
      </c>
      <c r="AH302">
        <v>7.5</v>
      </c>
      <c r="AI302">
        <v>1.47</v>
      </c>
      <c r="AJ302">
        <v>4.5</v>
      </c>
      <c r="AK302">
        <v>8.4499999999999993</v>
      </c>
      <c r="AL302">
        <v>1.44</v>
      </c>
      <c r="AM302">
        <v>4</v>
      </c>
      <c r="AN302">
        <v>8</v>
      </c>
      <c r="AO302">
        <v>1.4</v>
      </c>
      <c r="AP302">
        <v>4</v>
      </c>
      <c r="AQ302">
        <v>7.5</v>
      </c>
      <c r="AR302">
        <v>1.44</v>
      </c>
      <c r="AS302">
        <v>4.5</v>
      </c>
      <c r="AT302">
        <v>9.5</v>
      </c>
      <c r="AU302">
        <v>49</v>
      </c>
      <c r="AV302">
        <v>1.47</v>
      </c>
      <c r="AW302">
        <v>1.43</v>
      </c>
      <c r="AX302">
        <v>4.6100000000000003</v>
      </c>
      <c r="AY302">
        <v>4.24</v>
      </c>
      <c r="AZ302">
        <v>9.5</v>
      </c>
      <c r="BA302">
        <v>8.07</v>
      </c>
      <c r="BB302">
        <v>45</v>
      </c>
      <c r="BC302">
        <v>2.0499999999999998</v>
      </c>
      <c r="BD302">
        <v>1.96</v>
      </c>
      <c r="BE302">
        <v>1.97</v>
      </c>
      <c r="BF302">
        <v>1.82</v>
      </c>
      <c r="BG302">
        <v>27</v>
      </c>
      <c r="BH302">
        <v>-1</v>
      </c>
      <c r="BI302">
        <v>1.77</v>
      </c>
      <c r="BJ302">
        <v>1.72</v>
      </c>
      <c r="BK302">
        <v>2.25</v>
      </c>
      <c r="BL302">
        <v>2.15</v>
      </c>
      <c r="BM302">
        <v>1.43</v>
      </c>
      <c r="BN302">
        <v>4.58</v>
      </c>
      <c r="BO302">
        <v>9.9</v>
      </c>
    </row>
    <row r="303" spans="1:67">
      <c r="A303" t="s">
        <v>63</v>
      </c>
      <c r="B303" s="77">
        <v>41728</v>
      </c>
      <c r="C303" t="s">
        <v>75</v>
      </c>
      <c r="D303" t="s">
        <v>81</v>
      </c>
      <c r="E303">
        <v>3</v>
      </c>
      <c r="F303">
        <v>2</v>
      </c>
      <c r="G303" t="s">
        <v>70</v>
      </c>
      <c r="H303">
        <v>1</v>
      </c>
      <c r="I303">
        <v>1</v>
      </c>
      <c r="J303" t="s">
        <v>67</v>
      </c>
      <c r="K303">
        <v>16</v>
      </c>
      <c r="L303">
        <v>15</v>
      </c>
      <c r="M303">
        <v>6</v>
      </c>
      <c r="N303">
        <v>3</v>
      </c>
      <c r="O303">
        <v>17</v>
      </c>
      <c r="P303">
        <v>16</v>
      </c>
      <c r="Q303">
        <v>8</v>
      </c>
      <c r="R303">
        <v>2</v>
      </c>
      <c r="S303">
        <v>4</v>
      </c>
      <c r="T303">
        <v>3</v>
      </c>
      <c r="U303">
        <v>0</v>
      </c>
      <c r="V303">
        <v>0</v>
      </c>
      <c r="W303">
        <v>2.1</v>
      </c>
      <c r="X303">
        <v>3.3</v>
      </c>
      <c r="Y303">
        <v>3.5</v>
      </c>
      <c r="Z303">
        <v>2.1</v>
      </c>
      <c r="AA303">
        <v>3.3</v>
      </c>
      <c r="AB303">
        <v>3.5</v>
      </c>
      <c r="AC303">
        <v>2.2000000000000002</v>
      </c>
      <c r="AD303">
        <v>3.2</v>
      </c>
      <c r="AE303">
        <v>3.2</v>
      </c>
      <c r="AF303">
        <v>2.1</v>
      </c>
      <c r="AG303">
        <v>3.3</v>
      </c>
      <c r="AH303">
        <v>3.5</v>
      </c>
      <c r="AI303">
        <v>2.16</v>
      </c>
      <c r="AJ303">
        <v>3.34</v>
      </c>
      <c r="AK303">
        <v>3.88</v>
      </c>
      <c r="AL303">
        <v>2.2000000000000002</v>
      </c>
      <c r="AM303">
        <v>3.1</v>
      </c>
      <c r="AN303">
        <v>3.5</v>
      </c>
      <c r="AO303">
        <v>2.1</v>
      </c>
      <c r="AP303">
        <v>3.2</v>
      </c>
      <c r="AQ303">
        <v>3.4</v>
      </c>
      <c r="AR303">
        <v>2.2000000000000002</v>
      </c>
      <c r="AS303">
        <v>3.2</v>
      </c>
      <c r="AT303">
        <v>3.9</v>
      </c>
      <c r="AU303">
        <v>47</v>
      </c>
      <c r="AV303">
        <v>2.23</v>
      </c>
      <c r="AW303">
        <v>2.15</v>
      </c>
      <c r="AX303">
        <v>3.4</v>
      </c>
      <c r="AY303">
        <v>3.23</v>
      </c>
      <c r="AZ303">
        <v>3.9</v>
      </c>
      <c r="BA303">
        <v>3.51</v>
      </c>
      <c r="BB303">
        <v>42</v>
      </c>
      <c r="BC303">
        <v>2.33</v>
      </c>
      <c r="BD303">
        <v>2.1800000000000002</v>
      </c>
      <c r="BE303">
        <v>1.78</v>
      </c>
      <c r="BF303">
        <v>1.65</v>
      </c>
      <c r="BG303">
        <v>22</v>
      </c>
      <c r="BH303">
        <v>-0.25</v>
      </c>
      <c r="BI303">
        <v>1.88</v>
      </c>
      <c r="BJ303">
        <v>1.84</v>
      </c>
      <c r="BK303">
        <v>2.0699999999999998</v>
      </c>
      <c r="BL303">
        <v>2.02</v>
      </c>
      <c r="BM303">
        <v>2.2200000000000002</v>
      </c>
      <c r="BN303">
        <v>3.44</v>
      </c>
      <c r="BO303">
        <v>3.61</v>
      </c>
    </row>
    <row r="304" spans="1:67">
      <c r="A304" t="s">
        <v>63</v>
      </c>
      <c r="B304" s="77">
        <v>41728</v>
      </c>
      <c r="C304" t="s">
        <v>79</v>
      </c>
      <c r="D304" t="s">
        <v>65</v>
      </c>
      <c r="E304">
        <v>2</v>
      </c>
      <c r="F304">
        <v>0</v>
      </c>
      <c r="G304" t="s">
        <v>70</v>
      </c>
      <c r="H304">
        <v>1</v>
      </c>
      <c r="I304">
        <v>0</v>
      </c>
      <c r="J304" t="s">
        <v>70</v>
      </c>
      <c r="K304">
        <v>13</v>
      </c>
      <c r="L304">
        <v>9</v>
      </c>
      <c r="M304">
        <v>7</v>
      </c>
      <c r="N304">
        <v>2</v>
      </c>
      <c r="O304">
        <v>9</v>
      </c>
      <c r="P304">
        <v>11</v>
      </c>
      <c r="Q304">
        <v>7</v>
      </c>
      <c r="R304">
        <v>4</v>
      </c>
      <c r="S304">
        <v>2</v>
      </c>
      <c r="T304">
        <v>3</v>
      </c>
      <c r="U304">
        <v>0</v>
      </c>
      <c r="V304">
        <v>0</v>
      </c>
      <c r="W304">
        <v>2.8</v>
      </c>
      <c r="X304">
        <v>3.3</v>
      </c>
      <c r="Y304">
        <v>2.5</v>
      </c>
      <c r="Z304">
        <v>2.65</v>
      </c>
      <c r="AA304">
        <v>3.4</v>
      </c>
      <c r="AB304">
        <v>2.5499999999999998</v>
      </c>
      <c r="AC304">
        <v>3</v>
      </c>
      <c r="AD304">
        <v>3.2</v>
      </c>
      <c r="AE304">
        <v>2.2999999999999998</v>
      </c>
      <c r="AF304">
        <v>2.9</v>
      </c>
      <c r="AG304">
        <v>3.3</v>
      </c>
      <c r="AH304">
        <v>2.4</v>
      </c>
      <c r="AI304">
        <v>2.96</v>
      </c>
      <c r="AJ304">
        <v>3.46</v>
      </c>
      <c r="AK304">
        <v>2.5499999999999998</v>
      </c>
      <c r="AL304">
        <v>2.75</v>
      </c>
      <c r="AM304">
        <v>3.1</v>
      </c>
      <c r="AN304">
        <v>2.62</v>
      </c>
      <c r="AO304">
        <v>2.75</v>
      </c>
      <c r="AP304">
        <v>3.2</v>
      </c>
      <c r="AQ304">
        <v>2.5</v>
      </c>
      <c r="AR304">
        <v>2.9</v>
      </c>
      <c r="AS304">
        <v>3.3</v>
      </c>
      <c r="AT304">
        <v>2.62</v>
      </c>
      <c r="AU304">
        <v>47</v>
      </c>
      <c r="AV304">
        <v>3.01</v>
      </c>
      <c r="AW304">
        <v>2.84</v>
      </c>
      <c r="AX304">
        <v>3.5</v>
      </c>
      <c r="AY304">
        <v>3.25</v>
      </c>
      <c r="AZ304">
        <v>2.62</v>
      </c>
      <c r="BA304">
        <v>2.4900000000000002</v>
      </c>
      <c r="BB304">
        <v>44</v>
      </c>
      <c r="BC304">
        <v>2.0299999999999998</v>
      </c>
      <c r="BD304">
        <v>1.93</v>
      </c>
      <c r="BE304">
        <v>1.96</v>
      </c>
      <c r="BF304">
        <v>1.84</v>
      </c>
      <c r="BG304">
        <v>24</v>
      </c>
      <c r="BH304">
        <v>0</v>
      </c>
      <c r="BI304">
        <v>2.16</v>
      </c>
      <c r="BJ304">
        <v>2.0699999999999998</v>
      </c>
      <c r="BK304">
        <v>1.84</v>
      </c>
      <c r="BL304">
        <v>1.79</v>
      </c>
      <c r="BM304">
        <v>2.9</v>
      </c>
      <c r="BN304">
        <v>3.26</v>
      </c>
      <c r="BO304">
        <v>2.72</v>
      </c>
    </row>
    <row r="305" spans="1:67">
      <c r="A305" t="s">
        <v>63</v>
      </c>
      <c r="B305" s="77">
        <v>41728</v>
      </c>
      <c r="C305" t="s">
        <v>64</v>
      </c>
      <c r="D305" t="s">
        <v>85</v>
      </c>
      <c r="E305">
        <v>0</v>
      </c>
      <c r="F305">
        <v>0</v>
      </c>
      <c r="G305" t="s">
        <v>67</v>
      </c>
      <c r="H305">
        <v>0</v>
      </c>
      <c r="I305">
        <v>0</v>
      </c>
      <c r="J305" t="s">
        <v>67</v>
      </c>
      <c r="K305">
        <v>20</v>
      </c>
      <c r="L305">
        <v>16</v>
      </c>
      <c r="M305">
        <v>7</v>
      </c>
      <c r="N305">
        <v>4</v>
      </c>
      <c r="O305">
        <v>20</v>
      </c>
      <c r="P305">
        <v>17</v>
      </c>
      <c r="Q305">
        <v>4</v>
      </c>
      <c r="R305">
        <v>3</v>
      </c>
      <c r="S305">
        <v>2</v>
      </c>
      <c r="T305">
        <v>3</v>
      </c>
      <c r="U305">
        <v>0</v>
      </c>
      <c r="V305">
        <v>0</v>
      </c>
      <c r="W305">
        <v>2.88</v>
      </c>
      <c r="X305">
        <v>3.2</v>
      </c>
      <c r="Y305">
        <v>2.5</v>
      </c>
      <c r="Z305">
        <v>2.75</v>
      </c>
      <c r="AA305">
        <v>3.25</v>
      </c>
      <c r="AB305">
        <v>2.5499999999999998</v>
      </c>
      <c r="AC305">
        <v>2.6</v>
      </c>
      <c r="AD305">
        <v>3.2</v>
      </c>
      <c r="AE305">
        <v>2.6</v>
      </c>
      <c r="AF305">
        <v>2.9</v>
      </c>
      <c r="AG305">
        <v>3.3</v>
      </c>
      <c r="AH305">
        <v>2.4</v>
      </c>
      <c r="AI305">
        <v>2.99</v>
      </c>
      <c r="AJ305">
        <v>3.34</v>
      </c>
      <c r="AK305">
        <v>2.59</v>
      </c>
      <c r="AL305">
        <v>2.8</v>
      </c>
      <c r="AM305">
        <v>3.1</v>
      </c>
      <c r="AN305">
        <v>2.6</v>
      </c>
      <c r="AO305">
        <v>2.88</v>
      </c>
      <c r="AP305">
        <v>3.13</v>
      </c>
      <c r="AQ305">
        <v>2.4</v>
      </c>
      <c r="AR305">
        <v>3</v>
      </c>
      <c r="AS305">
        <v>3.12</v>
      </c>
      <c r="AT305">
        <v>2.7</v>
      </c>
      <c r="AU305">
        <v>47</v>
      </c>
      <c r="AV305">
        <v>3.15</v>
      </c>
      <c r="AW305">
        <v>2.9</v>
      </c>
      <c r="AX305">
        <v>3.34</v>
      </c>
      <c r="AY305">
        <v>3.15</v>
      </c>
      <c r="AZ305">
        <v>2.7</v>
      </c>
      <c r="BA305">
        <v>2.5099999999999998</v>
      </c>
      <c r="BB305">
        <v>43</v>
      </c>
      <c r="BC305">
        <v>2.2000000000000002</v>
      </c>
      <c r="BD305">
        <v>2.1</v>
      </c>
      <c r="BE305">
        <v>1.85</v>
      </c>
      <c r="BF305">
        <v>1.71</v>
      </c>
      <c r="BG305">
        <v>24</v>
      </c>
      <c r="BH305">
        <v>0</v>
      </c>
      <c r="BI305">
        <v>2.14</v>
      </c>
      <c r="BJ305">
        <v>2.0699999999999998</v>
      </c>
      <c r="BK305">
        <v>1.84</v>
      </c>
      <c r="BL305">
        <v>1.79</v>
      </c>
      <c r="BM305">
        <v>3.01</v>
      </c>
      <c r="BN305">
        <v>3.27</v>
      </c>
      <c r="BO305">
        <v>2.6</v>
      </c>
    </row>
    <row r="306" spans="1:67">
      <c r="A306" t="s">
        <v>63</v>
      </c>
      <c r="B306" s="77">
        <v>41728</v>
      </c>
      <c r="C306" t="s">
        <v>84</v>
      </c>
      <c r="D306" t="s">
        <v>78</v>
      </c>
      <c r="E306">
        <v>0</v>
      </c>
      <c r="F306">
        <v>2</v>
      </c>
      <c r="G306" t="s">
        <v>66</v>
      </c>
      <c r="H306">
        <v>0</v>
      </c>
      <c r="I306">
        <v>1</v>
      </c>
      <c r="J306" t="s">
        <v>66</v>
      </c>
      <c r="K306">
        <v>9</v>
      </c>
      <c r="L306">
        <v>15</v>
      </c>
      <c r="M306">
        <v>2</v>
      </c>
      <c r="N306">
        <v>4</v>
      </c>
      <c r="O306">
        <v>16</v>
      </c>
      <c r="P306">
        <v>8</v>
      </c>
      <c r="Q306">
        <v>7</v>
      </c>
      <c r="R306">
        <v>5</v>
      </c>
      <c r="S306">
        <v>1</v>
      </c>
      <c r="T306">
        <v>1</v>
      </c>
      <c r="U306">
        <v>0</v>
      </c>
      <c r="V306">
        <v>0</v>
      </c>
      <c r="W306">
        <v>7</v>
      </c>
      <c r="X306">
        <v>3.75</v>
      </c>
      <c r="Y306">
        <v>1.53</v>
      </c>
      <c r="Z306">
        <v>6.25</v>
      </c>
      <c r="AA306">
        <v>4</v>
      </c>
      <c r="AB306">
        <v>1.53</v>
      </c>
      <c r="AC306">
        <v>7</v>
      </c>
      <c r="AD306">
        <v>4</v>
      </c>
      <c r="AE306">
        <v>1.45</v>
      </c>
      <c r="AF306">
        <v>7</v>
      </c>
      <c r="AG306">
        <v>4.2</v>
      </c>
      <c r="AH306">
        <v>1.44</v>
      </c>
      <c r="AI306">
        <v>7.06</v>
      </c>
      <c r="AJ306">
        <v>4.18</v>
      </c>
      <c r="AK306">
        <v>1.56</v>
      </c>
      <c r="AL306">
        <v>6</v>
      </c>
      <c r="AM306">
        <v>3.75</v>
      </c>
      <c r="AN306">
        <v>1.57</v>
      </c>
      <c r="AO306">
        <v>5.8</v>
      </c>
      <c r="AP306">
        <v>3.8</v>
      </c>
      <c r="AQ306">
        <v>1.53</v>
      </c>
      <c r="AR306">
        <v>7</v>
      </c>
      <c r="AS306">
        <v>4</v>
      </c>
      <c r="AT306">
        <v>1.57</v>
      </c>
      <c r="AU306">
        <v>47</v>
      </c>
      <c r="AV306">
        <v>7.3</v>
      </c>
      <c r="AW306">
        <v>6.47</v>
      </c>
      <c r="AX306">
        <v>4.3</v>
      </c>
      <c r="AY306">
        <v>3.91</v>
      </c>
      <c r="AZ306">
        <v>1.6</v>
      </c>
      <c r="BA306">
        <v>1.54</v>
      </c>
      <c r="BB306">
        <v>44</v>
      </c>
      <c r="BC306">
        <v>1.94</v>
      </c>
      <c r="BD306">
        <v>1.85</v>
      </c>
      <c r="BE306">
        <v>2.02</v>
      </c>
      <c r="BF306">
        <v>1.92</v>
      </c>
      <c r="BG306">
        <v>26</v>
      </c>
      <c r="BH306">
        <v>1</v>
      </c>
      <c r="BI306">
        <v>2.02</v>
      </c>
      <c r="BJ306">
        <v>1.89</v>
      </c>
      <c r="BK306">
        <v>2.0299999999999998</v>
      </c>
      <c r="BL306">
        <v>1.96</v>
      </c>
      <c r="BM306">
        <v>7.58</v>
      </c>
      <c r="BN306">
        <v>4.5599999999999996</v>
      </c>
      <c r="BO306">
        <v>1.5</v>
      </c>
    </row>
    <row r="307" spans="1:67">
      <c r="A307" t="s">
        <v>63</v>
      </c>
      <c r="B307" s="77">
        <v>41728</v>
      </c>
      <c r="C307" t="s">
        <v>83</v>
      </c>
      <c r="D307" t="s">
        <v>71</v>
      </c>
      <c r="E307">
        <v>2</v>
      </c>
      <c r="F307">
        <v>1</v>
      </c>
      <c r="G307" t="s">
        <v>70</v>
      </c>
      <c r="H307">
        <v>1</v>
      </c>
      <c r="I307">
        <v>0</v>
      </c>
      <c r="J307" t="s">
        <v>70</v>
      </c>
      <c r="K307">
        <v>17</v>
      </c>
      <c r="L307">
        <v>9</v>
      </c>
      <c r="M307">
        <v>5</v>
      </c>
      <c r="N307">
        <v>1</v>
      </c>
      <c r="O307">
        <v>11</v>
      </c>
      <c r="P307">
        <v>19</v>
      </c>
      <c r="Q307">
        <v>6</v>
      </c>
      <c r="R307">
        <v>0</v>
      </c>
      <c r="S307">
        <v>1</v>
      </c>
      <c r="T307">
        <v>2</v>
      </c>
      <c r="U307">
        <v>0</v>
      </c>
      <c r="V307">
        <v>0</v>
      </c>
      <c r="W307">
        <v>1.85</v>
      </c>
      <c r="X307">
        <v>3.4</v>
      </c>
      <c r="Y307">
        <v>4.33</v>
      </c>
      <c r="Z307">
        <v>1.87</v>
      </c>
      <c r="AA307">
        <v>3.2</v>
      </c>
      <c r="AB307">
        <v>4.5</v>
      </c>
      <c r="AC307">
        <v>1.8</v>
      </c>
      <c r="AD307">
        <v>3.4</v>
      </c>
      <c r="AE307">
        <v>4.3</v>
      </c>
      <c r="AF307">
        <v>1.83</v>
      </c>
      <c r="AG307">
        <v>3.4</v>
      </c>
      <c r="AH307">
        <v>4.33</v>
      </c>
      <c r="AI307">
        <v>1.95</v>
      </c>
      <c r="AJ307">
        <v>3.4</v>
      </c>
      <c r="AK307">
        <v>4.6900000000000004</v>
      </c>
      <c r="AL307">
        <v>1.91</v>
      </c>
      <c r="AM307">
        <v>3.1</v>
      </c>
      <c r="AN307">
        <v>4.5</v>
      </c>
      <c r="AO307">
        <v>1.83</v>
      </c>
      <c r="AP307">
        <v>3.25</v>
      </c>
      <c r="AQ307">
        <v>4.33</v>
      </c>
      <c r="AR307">
        <v>1.91</v>
      </c>
      <c r="AS307">
        <v>3.4</v>
      </c>
      <c r="AT307">
        <v>4.8</v>
      </c>
      <c r="AU307">
        <v>47</v>
      </c>
      <c r="AV307">
        <v>1.95</v>
      </c>
      <c r="AW307">
        <v>1.88</v>
      </c>
      <c r="AX307">
        <v>3.45</v>
      </c>
      <c r="AY307">
        <v>3.29</v>
      </c>
      <c r="AZ307">
        <v>5.2</v>
      </c>
      <c r="BA307">
        <v>4.4400000000000004</v>
      </c>
      <c r="BB307">
        <v>42</v>
      </c>
      <c r="BC307">
        <v>2.34</v>
      </c>
      <c r="BD307">
        <v>2.2000000000000002</v>
      </c>
      <c r="BE307">
        <v>1.7</v>
      </c>
      <c r="BF307">
        <v>1.64</v>
      </c>
      <c r="BG307">
        <v>23</v>
      </c>
      <c r="BH307">
        <v>-0.5</v>
      </c>
      <c r="BI307">
        <v>1.93</v>
      </c>
      <c r="BJ307">
        <v>1.89</v>
      </c>
      <c r="BK307">
        <v>2.04</v>
      </c>
      <c r="BL307">
        <v>1.96</v>
      </c>
      <c r="BM307">
        <v>1.95</v>
      </c>
      <c r="BN307">
        <v>3.36</v>
      </c>
      <c r="BO307">
        <v>4.76</v>
      </c>
    </row>
    <row r="308" spans="1:67">
      <c r="A308" t="s">
        <v>63</v>
      </c>
      <c r="B308" s="77">
        <v>41728</v>
      </c>
      <c r="C308" t="s">
        <v>68</v>
      </c>
      <c r="D308" t="s">
        <v>74</v>
      </c>
      <c r="E308">
        <v>3</v>
      </c>
      <c r="F308">
        <v>0</v>
      </c>
      <c r="G308" t="s">
        <v>70</v>
      </c>
      <c r="H308">
        <v>1</v>
      </c>
      <c r="I308">
        <v>0</v>
      </c>
      <c r="J308" t="s">
        <v>70</v>
      </c>
      <c r="K308">
        <v>15</v>
      </c>
      <c r="L308">
        <v>12</v>
      </c>
      <c r="M308">
        <v>6</v>
      </c>
      <c r="N308">
        <v>3</v>
      </c>
      <c r="O308">
        <v>10</v>
      </c>
      <c r="P308">
        <v>18</v>
      </c>
      <c r="Q308">
        <v>7</v>
      </c>
      <c r="R308">
        <v>8</v>
      </c>
      <c r="S308">
        <v>1</v>
      </c>
      <c r="T308">
        <v>2</v>
      </c>
      <c r="U308">
        <v>1</v>
      </c>
      <c r="V308">
        <v>0</v>
      </c>
      <c r="W308">
        <v>2.2000000000000002</v>
      </c>
      <c r="X308">
        <v>3.2</v>
      </c>
      <c r="Y308">
        <v>3.4</v>
      </c>
      <c r="Z308">
        <v>2.2000000000000002</v>
      </c>
      <c r="AA308">
        <v>3.1</v>
      </c>
      <c r="AB308">
        <v>3.5</v>
      </c>
      <c r="AC308">
        <v>2.2000000000000002</v>
      </c>
      <c r="AD308">
        <v>3.15</v>
      </c>
      <c r="AE308">
        <v>3.25</v>
      </c>
      <c r="AF308">
        <v>2.2000000000000002</v>
      </c>
      <c r="AG308">
        <v>3.2</v>
      </c>
      <c r="AH308">
        <v>3.4</v>
      </c>
      <c r="AI308">
        <v>2.2200000000000002</v>
      </c>
      <c r="AJ308">
        <v>3.32</v>
      </c>
      <c r="AK308">
        <v>3.73</v>
      </c>
      <c r="AL308">
        <v>2.25</v>
      </c>
      <c r="AM308">
        <v>3.1</v>
      </c>
      <c r="AN308">
        <v>3.4</v>
      </c>
      <c r="AO308">
        <v>2.1</v>
      </c>
      <c r="AP308">
        <v>3.2</v>
      </c>
      <c r="AQ308">
        <v>3.3</v>
      </c>
      <c r="AR308">
        <v>2.25</v>
      </c>
      <c r="AS308">
        <v>3.3</v>
      </c>
      <c r="AT308">
        <v>3.6</v>
      </c>
      <c r="AU308">
        <v>47</v>
      </c>
      <c r="AV308">
        <v>2.25</v>
      </c>
      <c r="AW308">
        <v>2.1800000000000002</v>
      </c>
      <c r="AX308">
        <v>3.4</v>
      </c>
      <c r="AY308">
        <v>3.22</v>
      </c>
      <c r="AZ308">
        <v>3.75</v>
      </c>
      <c r="BA308">
        <v>3.43</v>
      </c>
      <c r="BB308">
        <v>43</v>
      </c>
      <c r="BC308">
        <v>2.2000000000000002</v>
      </c>
      <c r="BD308">
        <v>2.11</v>
      </c>
      <c r="BE308">
        <v>1.8</v>
      </c>
      <c r="BF308">
        <v>1.69</v>
      </c>
      <c r="BG308">
        <v>22</v>
      </c>
      <c r="BH308">
        <v>-0.25</v>
      </c>
      <c r="BI308">
        <v>1.92</v>
      </c>
      <c r="BJ308">
        <v>1.88</v>
      </c>
      <c r="BK308">
        <v>2.04</v>
      </c>
      <c r="BL308">
        <v>1.98</v>
      </c>
      <c r="BM308">
        <v>2.35</v>
      </c>
      <c r="BN308">
        <v>3.39</v>
      </c>
      <c r="BO308">
        <v>3.32</v>
      </c>
    </row>
    <row r="309" spans="1:67">
      <c r="A309" t="s">
        <v>63</v>
      </c>
      <c r="B309" s="77">
        <v>41729</v>
      </c>
      <c r="C309" t="s">
        <v>77</v>
      </c>
      <c r="D309" t="s">
        <v>73</v>
      </c>
      <c r="E309">
        <v>2</v>
      </c>
      <c r="F309">
        <v>2</v>
      </c>
      <c r="G309" t="s">
        <v>67</v>
      </c>
      <c r="H309">
        <v>0</v>
      </c>
      <c r="I309">
        <v>2</v>
      </c>
      <c r="J309" t="s">
        <v>66</v>
      </c>
      <c r="K309">
        <v>9</v>
      </c>
      <c r="L309">
        <v>19</v>
      </c>
      <c r="M309">
        <v>4</v>
      </c>
      <c r="N309">
        <v>6</v>
      </c>
      <c r="O309">
        <v>23</v>
      </c>
      <c r="P309">
        <v>12</v>
      </c>
      <c r="Q309">
        <v>5</v>
      </c>
      <c r="R309">
        <v>4</v>
      </c>
      <c r="S309">
        <v>1</v>
      </c>
      <c r="T309">
        <v>3</v>
      </c>
      <c r="U309">
        <v>0</v>
      </c>
      <c r="V309">
        <v>0</v>
      </c>
      <c r="W309">
        <v>4</v>
      </c>
      <c r="X309">
        <v>3.5</v>
      </c>
      <c r="Y309">
        <v>1.91</v>
      </c>
      <c r="Z309">
        <v>4.0999999999999996</v>
      </c>
      <c r="AA309">
        <v>3.4</v>
      </c>
      <c r="AB309">
        <v>1.91</v>
      </c>
      <c r="AC309">
        <v>3.8</v>
      </c>
      <c r="AD309">
        <v>3.45</v>
      </c>
      <c r="AE309">
        <v>1.9</v>
      </c>
      <c r="AF309">
        <v>4</v>
      </c>
      <c r="AG309">
        <v>3.4</v>
      </c>
      <c r="AH309">
        <v>1.9</v>
      </c>
      <c r="AI309">
        <v>4.51</v>
      </c>
      <c r="AJ309">
        <v>3.58</v>
      </c>
      <c r="AK309">
        <v>1.93</v>
      </c>
      <c r="AL309">
        <v>4.5</v>
      </c>
      <c r="AM309">
        <v>3.1</v>
      </c>
      <c r="AN309">
        <v>1.91</v>
      </c>
      <c r="AO309">
        <v>4</v>
      </c>
      <c r="AP309">
        <v>3.3</v>
      </c>
      <c r="AQ309">
        <v>1.9</v>
      </c>
      <c r="AR309">
        <v>4.5</v>
      </c>
      <c r="AS309">
        <v>3.5</v>
      </c>
      <c r="AT309">
        <v>1.92</v>
      </c>
      <c r="AU309">
        <v>45</v>
      </c>
      <c r="AV309">
        <v>4.51</v>
      </c>
      <c r="AW309">
        <v>4.13</v>
      </c>
      <c r="AX309">
        <v>3.58</v>
      </c>
      <c r="AY309">
        <v>3.39</v>
      </c>
      <c r="AZ309">
        <v>1.98</v>
      </c>
      <c r="BA309">
        <v>1.9</v>
      </c>
      <c r="BB309">
        <v>42</v>
      </c>
      <c r="BC309">
        <v>2.04</v>
      </c>
      <c r="BD309">
        <v>1.96</v>
      </c>
      <c r="BE309">
        <v>1.94</v>
      </c>
      <c r="BF309">
        <v>1.81</v>
      </c>
      <c r="BG309">
        <v>23</v>
      </c>
      <c r="BH309">
        <v>0.5</v>
      </c>
      <c r="BI309">
        <v>2.0099999999999998</v>
      </c>
      <c r="BJ309">
        <v>1.94</v>
      </c>
      <c r="BK309">
        <v>1.95</v>
      </c>
      <c r="BL309">
        <v>1.91</v>
      </c>
      <c r="BM309">
        <v>5.42</v>
      </c>
      <c r="BN309">
        <v>3.85</v>
      </c>
      <c r="BO309">
        <v>1.74</v>
      </c>
    </row>
    <row r="310" spans="1:67">
      <c r="A310" t="s">
        <v>63</v>
      </c>
      <c r="B310" s="77">
        <v>41729</v>
      </c>
      <c r="C310" t="s">
        <v>76</v>
      </c>
      <c r="D310" t="s">
        <v>86</v>
      </c>
      <c r="E310">
        <v>1</v>
      </c>
      <c r="F310">
        <v>0</v>
      </c>
      <c r="G310" t="s">
        <v>70</v>
      </c>
      <c r="H310">
        <v>0</v>
      </c>
      <c r="I310">
        <v>0</v>
      </c>
      <c r="J310" t="s">
        <v>67</v>
      </c>
      <c r="K310">
        <v>13</v>
      </c>
      <c r="L310">
        <v>20</v>
      </c>
      <c r="M310">
        <v>7</v>
      </c>
      <c r="N310">
        <v>7</v>
      </c>
      <c r="O310">
        <v>9</v>
      </c>
      <c r="P310">
        <v>11</v>
      </c>
      <c r="Q310">
        <v>4</v>
      </c>
      <c r="R310">
        <v>11</v>
      </c>
      <c r="S310">
        <v>2</v>
      </c>
      <c r="T310">
        <v>5</v>
      </c>
      <c r="U310">
        <v>0</v>
      </c>
      <c r="V310">
        <v>0</v>
      </c>
      <c r="W310">
        <v>1.73</v>
      </c>
      <c r="X310">
        <v>3.5</v>
      </c>
      <c r="Y310">
        <v>5</v>
      </c>
      <c r="Z310">
        <v>1.65</v>
      </c>
      <c r="AA310">
        <v>3.7</v>
      </c>
      <c r="AB310">
        <v>5.25</v>
      </c>
      <c r="AC310">
        <v>1.65</v>
      </c>
      <c r="AD310">
        <v>3.6</v>
      </c>
      <c r="AE310">
        <v>5.0999999999999996</v>
      </c>
      <c r="AF310">
        <v>1.72</v>
      </c>
      <c r="AG310">
        <v>3.5</v>
      </c>
      <c r="AH310">
        <v>5</v>
      </c>
      <c r="AI310">
        <v>1.74</v>
      </c>
      <c r="AJ310">
        <v>3.69</v>
      </c>
      <c r="AK310">
        <v>5.73</v>
      </c>
      <c r="AL310">
        <v>1.75</v>
      </c>
      <c r="AM310">
        <v>3.2</v>
      </c>
      <c r="AN310">
        <v>5.5</v>
      </c>
      <c r="AO310">
        <v>1.67</v>
      </c>
      <c r="AP310">
        <v>3.4</v>
      </c>
      <c r="AQ310">
        <v>5</v>
      </c>
      <c r="AR310">
        <v>1.73</v>
      </c>
      <c r="AS310">
        <v>3.6</v>
      </c>
      <c r="AT310">
        <v>6</v>
      </c>
      <c r="AU310">
        <v>46</v>
      </c>
      <c r="AV310">
        <v>1.76</v>
      </c>
      <c r="AW310">
        <v>1.72</v>
      </c>
      <c r="AX310">
        <v>3.7</v>
      </c>
      <c r="AY310">
        <v>3.48</v>
      </c>
      <c r="AZ310">
        <v>6</v>
      </c>
      <c r="BA310">
        <v>5.2</v>
      </c>
      <c r="BB310">
        <v>42</v>
      </c>
      <c r="BC310">
        <v>2.25</v>
      </c>
      <c r="BD310">
        <v>2.14</v>
      </c>
      <c r="BE310">
        <v>1.8</v>
      </c>
      <c r="BF310">
        <v>1.68</v>
      </c>
      <c r="BG310">
        <v>22</v>
      </c>
      <c r="BH310">
        <v>-0.75</v>
      </c>
      <c r="BI310">
        <v>2.0099999999999998</v>
      </c>
      <c r="BJ310">
        <v>1.96</v>
      </c>
      <c r="BK310">
        <v>1.95</v>
      </c>
      <c r="BL310">
        <v>1.9</v>
      </c>
      <c r="BM310">
        <v>1.74</v>
      </c>
      <c r="BN310">
        <v>3.83</v>
      </c>
      <c r="BO310">
        <v>5.49</v>
      </c>
    </row>
    <row r="311" spans="1:67">
      <c r="A311" t="s">
        <v>63</v>
      </c>
      <c r="B311" s="77">
        <v>41731</v>
      </c>
      <c r="C311" t="s">
        <v>78</v>
      </c>
      <c r="D311" t="s">
        <v>81</v>
      </c>
      <c r="E311">
        <v>4</v>
      </c>
      <c r="F311">
        <v>2</v>
      </c>
      <c r="G311" t="s">
        <v>70</v>
      </c>
      <c r="H311">
        <v>2</v>
      </c>
      <c r="I311">
        <v>1</v>
      </c>
      <c r="J311" t="s">
        <v>70</v>
      </c>
      <c r="K311">
        <v>12</v>
      </c>
      <c r="L311">
        <v>16</v>
      </c>
      <c r="M311">
        <v>6</v>
      </c>
      <c r="N311">
        <v>3</v>
      </c>
      <c r="O311">
        <v>15</v>
      </c>
      <c r="P311">
        <v>13</v>
      </c>
      <c r="Q311">
        <v>1</v>
      </c>
      <c r="R311">
        <v>2</v>
      </c>
      <c r="S311">
        <v>1</v>
      </c>
      <c r="T311">
        <v>1</v>
      </c>
      <c r="U311">
        <v>0</v>
      </c>
      <c r="V311">
        <v>0</v>
      </c>
      <c r="W311">
        <v>1.4</v>
      </c>
      <c r="X311">
        <v>4.75</v>
      </c>
      <c r="Y311">
        <v>7</v>
      </c>
      <c r="Z311">
        <v>1.4</v>
      </c>
      <c r="AA311">
        <v>4.5</v>
      </c>
      <c r="AB311">
        <v>7.5</v>
      </c>
      <c r="AC311">
        <v>1.4</v>
      </c>
      <c r="AD311">
        <v>4.4000000000000004</v>
      </c>
      <c r="AE311">
        <v>7.3</v>
      </c>
      <c r="AF311">
        <v>1.4</v>
      </c>
      <c r="AG311">
        <v>4.5</v>
      </c>
      <c r="AH311">
        <v>7.5</v>
      </c>
      <c r="AI311">
        <v>1.43</v>
      </c>
      <c r="AJ311">
        <v>4.83</v>
      </c>
      <c r="AK311">
        <v>8.81</v>
      </c>
      <c r="AL311">
        <v>1.44</v>
      </c>
      <c r="AM311">
        <v>4</v>
      </c>
      <c r="AN311">
        <v>8</v>
      </c>
      <c r="AO311">
        <v>1.4</v>
      </c>
      <c r="AP311">
        <v>4.5</v>
      </c>
      <c r="AQ311">
        <v>6.5</v>
      </c>
      <c r="AR311">
        <v>1.45</v>
      </c>
      <c r="AS311">
        <v>4.75</v>
      </c>
      <c r="AT311">
        <v>8</v>
      </c>
      <c r="AU311">
        <v>45</v>
      </c>
      <c r="AV311">
        <v>1.45</v>
      </c>
      <c r="AW311">
        <v>1.41</v>
      </c>
      <c r="AX311">
        <v>4.8499999999999996</v>
      </c>
      <c r="AY311">
        <v>4.46</v>
      </c>
      <c r="AZ311">
        <v>9.6</v>
      </c>
      <c r="BA311">
        <v>7.59</v>
      </c>
      <c r="BB311">
        <v>43</v>
      </c>
      <c r="BC311">
        <v>1.78</v>
      </c>
      <c r="BD311">
        <v>1.69</v>
      </c>
      <c r="BE311">
        <v>2.2200000000000002</v>
      </c>
      <c r="BF311">
        <v>2.12</v>
      </c>
      <c r="BG311">
        <v>23</v>
      </c>
      <c r="BH311">
        <v>-1.5</v>
      </c>
      <c r="BI311">
        <v>2.39</v>
      </c>
      <c r="BJ311">
        <v>2.2599999999999998</v>
      </c>
      <c r="BK311">
        <v>1.75</v>
      </c>
      <c r="BL311">
        <v>1.67</v>
      </c>
      <c r="BM311">
        <v>1.43</v>
      </c>
      <c r="BN311">
        <v>4.72</v>
      </c>
      <c r="BO311">
        <v>9.01</v>
      </c>
    </row>
    <row r="312" spans="1:67">
      <c r="A312" t="s">
        <v>63</v>
      </c>
      <c r="B312" s="77">
        <v>41734</v>
      </c>
      <c r="C312" t="s">
        <v>82</v>
      </c>
      <c r="D312" t="s">
        <v>68</v>
      </c>
      <c r="E312">
        <v>0</v>
      </c>
      <c r="F312">
        <v>1</v>
      </c>
      <c r="G312" t="s">
        <v>66</v>
      </c>
      <c r="H312">
        <v>0</v>
      </c>
      <c r="I312">
        <v>0</v>
      </c>
      <c r="J312" t="s">
        <v>67</v>
      </c>
      <c r="K312">
        <v>18</v>
      </c>
      <c r="L312">
        <v>13</v>
      </c>
      <c r="M312">
        <v>6</v>
      </c>
      <c r="N312">
        <v>5</v>
      </c>
      <c r="O312">
        <v>12</v>
      </c>
      <c r="P312">
        <v>15</v>
      </c>
      <c r="Q312">
        <v>5</v>
      </c>
      <c r="R312">
        <v>4</v>
      </c>
      <c r="S312">
        <v>2</v>
      </c>
      <c r="T312">
        <v>2</v>
      </c>
      <c r="U312">
        <v>0</v>
      </c>
      <c r="V312">
        <v>0</v>
      </c>
      <c r="W312">
        <v>2.38</v>
      </c>
      <c r="X312">
        <v>3.1</v>
      </c>
      <c r="Y312">
        <v>3.1</v>
      </c>
      <c r="Z312">
        <v>2.4</v>
      </c>
      <c r="AA312">
        <v>3.1</v>
      </c>
      <c r="AB312">
        <v>3.1</v>
      </c>
      <c r="AC312">
        <v>2.2000000000000002</v>
      </c>
      <c r="AD312">
        <v>3.1</v>
      </c>
      <c r="AE312">
        <v>3.3</v>
      </c>
      <c r="AF312">
        <v>2.25</v>
      </c>
      <c r="AG312">
        <v>3.2</v>
      </c>
      <c r="AH312">
        <v>3.25</v>
      </c>
      <c r="AI312">
        <v>2.4700000000000002</v>
      </c>
      <c r="AJ312">
        <v>3.26</v>
      </c>
      <c r="AK312">
        <v>3.25</v>
      </c>
      <c r="AL312">
        <v>2.5</v>
      </c>
      <c r="AM312">
        <v>3</v>
      </c>
      <c r="AN312">
        <v>3.1</v>
      </c>
      <c r="AO312">
        <v>2.2999999999999998</v>
      </c>
      <c r="AP312">
        <v>3</v>
      </c>
      <c r="AQ312">
        <v>3.13</v>
      </c>
      <c r="AR312">
        <v>2.4500000000000002</v>
      </c>
      <c r="AS312">
        <v>3.1</v>
      </c>
      <c r="AT312">
        <v>3.4</v>
      </c>
      <c r="AU312">
        <v>50</v>
      </c>
      <c r="AV312">
        <v>2.5</v>
      </c>
      <c r="AW312">
        <v>2.38</v>
      </c>
      <c r="AX312">
        <v>3.3</v>
      </c>
      <c r="AY312">
        <v>3.09</v>
      </c>
      <c r="AZ312">
        <v>3.5</v>
      </c>
      <c r="BA312">
        <v>3.18</v>
      </c>
      <c r="BB312">
        <v>43</v>
      </c>
      <c r="BC312">
        <v>2.4300000000000002</v>
      </c>
      <c r="BD312">
        <v>2.29</v>
      </c>
      <c r="BE312">
        <v>1.68</v>
      </c>
      <c r="BF312">
        <v>1.6</v>
      </c>
      <c r="BG312">
        <v>23</v>
      </c>
      <c r="BH312">
        <v>0</v>
      </c>
      <c r="BI312">
        <v>1.7</v>
      </c>
      <c r="BJ312">
        <v>1.67</v>
      </c>
      <c r="BK312">
        <v>2.3199999999999998</v>
      </c>
      <c r="BL312">
        <v>2.2400000000000002</v>
      </c>
      <c r="BM312">
        <v>2.78</v>
      </c>
      <c r="BN312">
        <v>3.22</v>
      </c>
      <c r="BO312">
        <v>2.85</v>
      </c>
    </row>
    <row r="313" spans="1:67">
      <c r="A313" t="s">
        <v>63</v>
      </c>
      <c r="B313" s="77">
        <v>41734</v>
      </c>
      <c r="C313" t="s">
        <v>73</v>
      </c>
      <c r="D313" t="s">
        <v>80</v>
      </c>
      <c r="E313">
        <v>2</v>
      </c>
      <c r="F313">
        <v>2</v>
      </c>
      <c r="G313" t="s">
        <v>67</v>
      </c>
      <c r="H313">
        <v>1</v>
      </c>
      <c r="I313">
        <v>1</v>
      </c>
      <c r="J313" t="s">
        <v>67</v>
      </c>
      <c r="K313">
        <v>17</v>
      </c>
      <c r="L313">
        <v>12</v>
      </c>
      <c r="M313">
        <v>6</v>
      </c>
      <c r="N313">
        <v>8</v>
      </c>
      <c r="O313">
        <v>15</v>
      </c>
      <c r="P313">
        <v>16</v>
      </c>
      <c r="Q313">
        <v>5</v>
      </c>
      <c r="R313">
        <v>5</v>
      </c>
      <c r="S313">
        <v>1</v>
      </c>
      <c r="T313">
        <v>2</v>
      </c>
      <c r="U313">
        <v>0</v>
      </c>
      <c r="V313">
        <v>0</v>
      </c>
      <c r="W313">
        <v>1.36</v>
      </c>
      <c r="X313">
        <v>4.5</v>
      </c>
      <c r="Y313">
        <v>9</v>
      </c>
      <c r="Z313">
        <v>1.35</v>
      </c>
      <c r="AA313">
        <v>4.75</v>
      </c>
      <c r="AB313">
        <v>8.75</v>
      </c>
      <c r="AC313">
        <v>1.45</v>
      </c>
      <c r="AD313">
        <v>4</v>
      </c>
      <c r="AE313">
        <v>7</v>
      </c>
      <c r="AF313">
        <v>1.4</v>
      </c>
      <c r="AG313">
        <v>4.5</v>
      </c>
      <c r="AH313">
        <v>8</v>
      </c>
      <c r="AI313">
        <v>1.4</v>
      </c>
      <c r="AJ313">
        <v>4.82</v>
      </c>
      <c r="AK313">
        <v>10.11</v>
      </c>
      <c r="AL313">
        <v>1.4</v>
      </c>
      <c r="AM313">
        <v>4.33</v>
      </c>
      <c r="AN313">
        <v>9</v>
      </c>
      <c r="AO313">
        <v>1.36</v>
      </c>
      <c r="AP313">
        <v>4.5</v>
      </c>
      <c r="AQ313">
        <v>8.5</v>
      </c>
      <c r="AR313">
        <v>1.36</v>
      </c>
      <c r="AS313">
        <v>4.5999999999999996</v>
      </c>
      <c r="AT313">
        <v>11</v>
      </c>
      <c r="AU313">
        <v>50</v>
      </c>
      <c r="AV313">
        <v>1.45</v>
      </c>
      <c r="AW313">
        <v>1.38</v>
      </c>
      <c r="AX313">
        <v>5</v>
      </c>
      <c r="AY313">
        <v>4.53</v>
      </c>
      <c r="AZ313">
        <v>12</v>
      </c>
      <c r="BA313">
        <v>9.1</v>
      </c>
      <c r="BB313">
        <v>46</v>
      </c>
      <c r="BC313">
        <v>1.98</v>
      </c>
      <c r="BD313">
        <v>1.9</v>
      </c>
      <c r="BE313">
        <v>1.97</v>
      </c>
      <c r="BF313">
        <v>1.88</v>
      </c>
      <c r="BG313">
        <v>26</v>
      </c>
      <c r="BH313">
        <v>-1.5</v>
      </c>
      <c r="BI313">
        <v>2.25</v>
      </c>
      <c r="BJ313">
        <v>2.15</v>
      </c>
      <c r="BK313">
        <v>1.78</v>
      </c>
      <c r="BL313">
        <v>1.71</v>
      </c>
      <c r="BM313">
        <v>1.37</v>
      </c>
      <c r="BN313">
        <v>4.87</v>
      </c>
      <c r="BO313">
        <v>11.64</v>
      </c>
    </row>
    <row r="314" spans="1:67">
      <c r="A314" t="s">
        <v>63</v>
      </c>
      <c r="B314" s="77">
        <v>41735</v>
      </c>
      <c r="C314" t="s">
        <v>72</v>
      </c>
      <c r="D314" t="s">
        <v>84</v>
      </c>
      <c r="E314">
        <v>0</v>
      </c>
      <c r="F314">
        <v>2</v>
      </c>
      <c r="G314" t="s">
        <v>66</v>
      </c>
      <c r="H314">
        <v>0</v>
      </c>
      <c r="I314">
        <v>1</v>
      </c>
      <c r="J314" t="s">
        <v>66</v>
      </c>
      <c r="K314">
        <v>8</v>
      </c>
      <c r="L314">
        <v>12</v>
      </c>
      <c r="M314">
        <v>4</v>
      </c>
      <c r="N314">
        <v>4</v>
      </c>
      <c r="O314">
        <v>16</v>
      </c>
      <c r="P314">
        <v>24</v>
      </c>
      <c r="Q314">
        <v>6</v>
      </c>
      <c r="R314">
        <v>4</v>
      </c>
      <c r="S314">
        <v>4</v>
      </c>
      <c r="T314">
        <v>3</v>
      </c>
      <c r="U314">
        <v>0</v>
      </c>
      <c r="V314">
        <v>0</v>
      </c>
      <c r="W314">
        <v>1.8</v>
      </c>
      <c r="X314">
        <v>3.6</v>
      </c>
      <c r="Y314">
        <v>4.33</v>
      </c>
      <c r="Z314">
        <v>1.7</v>
      </c>
      <c r="AA314">
        <v>3.6</v>
      </c>
      <c r="AB314">
        <v>5</v>
      </c>
      <c r="AC314">
        <v>1.7</v>
      </c>
      <c r="AD314">
        <v>3.6</v>
      </c>
      <c r="AE314">
        <v>4.7</v>
      </c>
      <c r="AF314">
        <v>1.8</v>
      </c>
      <c r="AG314">
        <v>3.5</v>
      </c>
      <c r="AH314">
        <v>4.5</v>
      </c>
      <c r="AI314">
        <v>1.84</v>
      </c>
      <c r="AJ314">
        <v>3.61</v>
      </c>
      <c r="AK314">
        <v>5</v>
      </c>
      <c r="AL314">
        <v>1.8</v>
      </c>
      <c r="AM314">
        <v>3.3</v>
      </c>
      <c r="AN314">
        <v>5</v>
      </c>
      <c r="AO314">
        <v>1.8</v>
      </c>
      <c r="AP314">
        <v>3.4</v>
      </c>
      <c r="AQ314">
        <v>4.33</v>
      </c>
      <c r="AR314">
        <v>1.85</v>
      </c>
      <c r="AS314">
        <v>3.5</v>
      </c>
      <c r="AT314">
        <v>5</v>
      </c>
      <c r="AU314">
        <v>50</v>
      </c>
      <c r="AV314">
        <v>1.85</v>
      </c>
      <c r="AW314">
        <v>1.8</v>
      </c>
      <c r="AX314">
        <v>3.8</v>
      </c>
      <c r="AY314">
        <v>3.48</v>
      </c>
      <c r="AZ314">
        <v>5.2</v>
      </c>
      <c r="BA314">
        <v>4.6399999999999997</v>
      </c>
      <c r="BB314">
        <v>46</v>
      </c>
      <c r="BC314">
        <v>2.11</v>
      </c>
      <c r="BD314">
        <v>2.0299999999999998</v>
      </c>
      <c r="BE314">
        <v>1.85</v>
      </c>
      <c r="BF314">
        <v>1.76</v>
      </c>
      <c r="BG314">
        <v>25</v>
      </c>
      <c r="BH314">
        <v>-0.5</v>
      </c>
      <c r="BI314">
        <v>1.85</v>
      </c>
      <c r="BJ314">
        <v>1.81</v>
      </c>
      <c r="BK314">
        <v>2.11</v>
      </c>
      <c r="BL314">
        <v>2.04</v>
      </c>
      <c r="BM314">
        <v>1.78</v>
      </c>
      <c r="BN314">
        <v>3.86</v>
      </c>
      <c r="BO314">
        <v>5.01</v>
      </c>
    </row>
    <row r="315" spans="1:67">
      <c r="A315" t="s">
        <v>63</v>
      </c>
      <c r="B315" s="77">
        <v>41735</v>
      </c>
      <c r="C315" t="s">
        <v>71</v>
      </c>
      <c r="D315" t="s">
        <v>78</v>
      </c>
      <c r="E315">
        <v>1</v>
      </c>
      <c r="F315">
        <v>3</v>
      </c>
      <c r="G315" t="s">
        <v>66</v>
      </c>
      <c r="H315">
        <v>0</v>
      </c>
      <c r="I315">
        <v>1</v>
      </c>
      <c r="J315" t="s">
        <v>66</v>
      </c>
      <c r="K315">
        <v>18</v>
      </c>
      <c r="L315">
        <v>6</v>
      </c>
      <c r="M315">
        <v>5</v>
      </c>
      <c r="N315">
        <v>3</v>
      </c>
      <c r="O315">
        <v>7</v>
      </c>
      <c r="P315">
        <v>17</v>
      </c>
      <c r="Q315">
        <v>4</v>
      </c>
      <c r="R315">
        <v>4</v>
      </c>
      <c r="S315">
        <v>1</v>
      </c>
      <c r="T315">
        <v>4</v>
      </c>
      <c r="U315">
        <v>0</v>
      </c>
      <c r="V315">
        <v>0</v>
      </c>
      <c r="W315">
        <v>6</v>
      </c>
      <c r="X315">
        <v>3.6</v>
      </c>
      <c r="Y315">
        <v>1.62</v>
      </c>
      <c r="Z315">
        <v>5.75</v>
      </c>
      <c r="AA315">
        <v>3.6</v>
      </c>
      <c r="AB315">
        <v>1.62</v>
      </c>
      <c r="AC315">
        <v>5.4</v>
      </c>
      <c r="AD315">
        <v>3.7</v>
      </c>
      <c r="AE315">
        <v>1.6</v>
      </c>
      <c r="AF315">
        <v>5</v>
      </c>
      <c r="AG315">
        <v>3.6</v>
      </c>
      <c r="AH315">
        <v>1.7</v>
      </c>
      <c r="AI315">
        <v>6.5</v>
      </c>
      <c r="AJ315">
        <v>3.7</v>
      </c>
      <c r="AK315">
        <v>1.68</v>
      </c>
      <c r="AL315">
        <v>6</v>
      </c>
      <c r="AM315">
        <v>3.4</v>
      </c>
      <c r="AN315">
        <v>1.67</v>
      </c>
      <c r="AO315">
        <v>5.5</v>
      </c>
      <c r="AP315">
        <v>3.5</v>
      </c>
      <c r="AQ315">
        <v>1.62</v>
      </c>
      <c r="AR315">
        <v>6.5</v>
      </c>
      <c r="AS315">
        <v>3.7</v>
      </c>
      <c r="AT315">
        <v>1.67</v>
      </c>
      <c r="AU315">
        <v>50</v>
      </c>
      <c r="AV315">
        <v>7</v>
      </c>
      <c r="AW315">
        <v>5.77</v>
      </c>
      <c r="AX315">
        <v>3.7</v>
      </c>
      <c r="AY315">
        <v>3.57</v>
      </c>
      <c r="AZ315">
        <v>1.7</v>
      </c>
      <c r="BA315">
        <v>1.65</v>
      </c>
      <c r="BB315">
        <v>46</v>
      </c>
      <c r="BC315">
        <v>2.25</v>
      </c>
      <c r="BD315">
        <v>2.12</v>
      </c>
      <c r="BE315">
        <v>1.8</v>
      </c>
      <c r="BF315">
        <v>1.7</v>
      </c>
      <c r="BG315">
        <v>25</v>
      </c>
      <c r="BH315">
        <v>1</v>
      </c>
      <c r="BI315">
        <v>1.77</v>
      </c>
      <c r="BJ315">
        <v>1.7</v>
      </c>
      <c r="BK315">
        <v>2.3199999999999998</v>
      </c>
      <c r="BL315">
        <v>2.19</v>
      </c>
      <c r="BM315">
        <v>6.06</v>
      </c>
      <c r="BN315">
        <v>3.9</v>
      </c>
      <c r="BO315">
        <v>1.67</v>
      </c>
    </row>
    <row r="316" spans="1:67">
      <c r="A316" t="s">
        <v>63</v>
      </c>
      <c r="B316" s="77">
        <v>41735</v>
      </c>
      <c r="C316" t="s">
        <v>86</v>
      </c>
      <c r="D316" t="s">
        <v>83</v>
      </c>
      <c r="E316">
        <v>1</v>
      </c>
      <c r="F316">
        <v>2</v>
      </c>
      <c r="G316" t="s">
        <v>66</v>
      </c>
      <c r="H316">
        <v>1</v>
      </c>
      <c r="I316">
        <v>0</v>
      </c>
      <c r="J316" t="s">
        <v>70</v>
      </c>
      <c r="K316">
        <v>9</v>
      </c>
      <c r="L316">
        <v>14</v>
      </c>
      <c r="M316">
        <v>4</v>
      </c>
      <c r="N316">
        <v>6</v>
      </c>
      <c r="O316">
        <v>20</v>
      </c>
      <c r="P316">
        <v>13</v>
      </c>
      <c r="Q316">
        <v>3</v>
      </c>
      <c r="R316">
        <v>5</v>
      </c>
      <c r="S316">
        <v>2</v>
      </c>
      <c r="T316">
        <v>4</v>
      </c>
      <c r="U316">
        <v>0</v>
      </c>
      <c r="V316">
        <v>0</v>
      </c>
      <c r="W316">
        <v>2.5</v>
      </c>
      <c r="X316">
        <v>3.2</v>
      </c>
      <c r="Y316">
        <v>2.88</v>
      </c>
      <c r="Z316">
        <v>2.6</v>
      </c>
      <c r="AA316">
        <v>3.1</v>
      </c>
      <c r="AB316">
        <v>2.8</v>
      </c>
      <c r="AC316">
        <v>2.5</v>
      </c>
      <c r="AD316">
        <v>3.25</v>
      </c>
      <c r="AE316">
        <v>2.7</v>
      </c>
      <c r="AF316">
        <v>2.5</v>
      </c>
      <c r="AG316">
        <v>3.2</v>
      </c>
      <c r="AH316">
        <v>2.8</v>
      </c>
      <c r="AI316">
        <v>2.59</v>
      </c>
      <c r="AJ316">
        <v>3.26</v>
      </c>
      <c r="AK316">
        <v>3.06</v>
      </c>
      <c r="AL316">
        <v>2.62</v>
      </c>
      <c r="AM316">
        <v>3</v>
      </c>
      <c r="AN316">
        <v>2.9</v>
      </c>
      <c r="AO316">
        <v>2.5</v>
      </c>
      <c r="AP316">
        <v>3.2</v>
      </c>
      <c r="AQ316">
        <v>2.75</v>
      </c>
      <c r="AR316">
        <v>2.7</v>
      </c>
      <c r="AS316">
        <v>3.12</v>
      </c>
      <c r="AT316">
        <v>3</v>
      </c>
      <c r="AU316">
        <v>50</v>
      </c>
      <c r="AV316">
        <v>2.66</v>
      </c>
      <c r="AW316">
        <v>2.5299999999999998</v>
      </c>
      <c r="AX316">
        <v>3.3</v>
      </c>
      <c r="AY316">
        <v>3.16</v>
      </c>
      <c r="AZ316">
        <v>3.1</v>
      </c>
      <c r="BA316">
        <v>2.89</v>
      </c>
      <c r="BB316">
        <v>46</v>
      </c>
      <c r="BC316">
        <v>2.25</v>
      </c>
      <c r="BD316">
        <v>2.14</v>
      </c>
      <c r="BE316">
        <v>1.77</v>
      </c>
      <c r="BF316">
        <v>1.68</v>
      </c>
      <c r="BG316">
        <v>26</v>
      </c>
      <c r="BH316">
        <v>0</v>
      </c>
      <c r="BI316">
        <v>1.83</v>
      </c>
      <c r="BJ316">
        <v>1.8</v>
      </c>
      <c r="BK316">
        <v>2.13</v>
      </c>
      <c r="BL316">
        <v>2.0499999999999998</v>
      </c>
      <c r="BM316">
        <v>2.8</v>
      </c>
      <c r="BN316">
        <v>3.24</v>
      </c>
      <c r="BO316">
        <v>2.81</v>
      </c>
    </row>
    <row r="317" spans="1:67">
      <c r="A317" t="s">
        <v>63</v>
      </c>
      <c r="B317" s="77">
        <v>41735</v>
      </c>
      <c r="C317" t="s">
        <v>85</v>
      </c>
      <c r="D317" t="s">
        <v>76</v>
      </c>
      <c r="E317">
        <v>2</v>
      </c>
      <c r="F317">
        <v>1</v>
      </c>
      <c r="G317" t="s">
        <v>70</v>
      </c>
      <c r="H317">
        <v>1</v>
      </c>
      <c r="I317">
        <v>0</v>
      </c>
      <c r="J317" t="s">
        <v>70</v>
      </c>
      <c r="K317">
        <v>22</v>
      </c>
      <c r="L317">
        <v>13</v>
      </c>
      <c r="M317">
        <v>4</v>
      </c>
      <c r="N317">
        <v>3</v>
      </c>
      <c r="O317">
        <v>16</v>
      </c>
      <c r="P317">
        <v>13</v>
      </c>
      <c r="Q317">
        <v>10</v>
      </c>
      <c r="R317">
        <v>6</v>
      </c>
      <c r="S317">
        <v>1</v>
      </c>
      <c r="T317">
        <v>5</v>
      </c>
      <c r="U317">
        <v>0</v>
      </c>
      <c r="V317">
        <v>0</v>
      </c>
      <c r="W317">
        <v>1.65</v>
      </c>
      <c r="X317">
        <v>3.75</v>
      </c>
      <c r="Y317">
        <v>5.25</v>
      </c>
      <c r="Z317">
        <v>1.65</v>
      </c>
      <c r="AA317">
        <v>3.7</v>
      </c>
      <c r="AB317">
        <v>5.25</v>
      </c>
      <c r="AC317">
        <v>1.7</v>
      </c>
      <c r="AD317">
        <v>3.6</v>
      </c>
      <c r="AE317">
        <v>4.7</v>
      </c>
      <c r="AF317">
        <v>1.7</v>
      </c>
      <c r="AG317">
        <v>3.6</v>
      </c>
      <c r="AH317">
        <v>5</v>
      </c>
      <c r="AI317">
        <v>1.71</v>
      </c>
      <c r="AJ317">
        <v>3.68</v>
      </c>
      <c r="AK317">
        <v>6.09</v>
      </c>
      <c r="AL317">
        <v>1.73</v>
      </c>
      <c r="AM317">
        <v>3.3</v>
      </c>
      <c r="AN317">
        <v>5.5</v>
      </c>
      <c r="AO317">
        <v>1.67</v>
      </c>
      <c r="AP317">
        <v>3.5</v>
      </c>
      <c r="AQ317">
        <v>5</v>
      </c>
      <c r="AR317">
        <v>1.73</v>
      </c>
      <c r="AS317">
        <v>3.75</v>
      </c>
      <c r="AT317">
        <v>5.5</v>
      </c>
      <c r="AU317">
        <v>50</v>
      </c>
      <c r="AV317">
        <v>1.75</v>
      </c>
      <c r="AW317">
        <v>1.7</v>
      </c>
      <c r="AX317">
        <v>3.8</v>
      </c>
      <c r="AY317">
        <v>3.56</v>
      </c>
      <c r="AZ317">
        <v>6</v>
      </c>
      <c r="BA317">
        <v>5.35</v>
      </c>
      <c r="BB317">
        <v>47</v>
      </c>
      <c r="BC317">
        <v>2.0699999999999998</v>
      </c>
      <c r="BD317">
        <v>1.97</v>
      </c>
      <c r="BE317">
        <v>1.92</v>
      </c>
      <c r="BF317">
        <v>1.81</v>
      </c>
      <c r="BG317">
        <v>23</v>
      </c>
      <c r="BH317">
        <v>-0.5</v>
      </c>
      <c r="BI317">
        <v>1.72</v>
      </c>
      <c r="BJ317">
        <v>1.68</v>
      </c>
      <c r="BK317">
        <v>2.2799999999999998</v>
      </c>
      <c r="BL317">
        <v>2.2000000000000002</v>
      </c>
      <c r="BM317">
        <v>1.82</v>
      </c>
      <c r="BN317">
        <v>3.61</v>
      </c>
      <c r="BO317">
        <v>5.15</v>
      </c>
    </row>
    <row r="318" spans="1:67">
      <c r="A318" t="s">
        <v>63</v>
      </c>
      <c r="B318" s="77">
        <v>41735</v>
      </c>
      <c r="C318" t="s">
        <v>75</v>
      </c>
      <c r="D318" t="s">
        <v>64</v>
      </c>
      <c r="E318">
        <v>2</v>
      </c>
      <c r="F318">
        <v>0</v>
      </c>
      <c r="G318" t="s">
        <v>70</v>
      </c>
      <c r="H318">
        <v>1</v>
      </c>
      <c r="I318">
        <v>0</v>
      </c>
      <c r="J318" t="s">
        <v>70</v>
      </c>
      <c r="K318">
        <v>8</v>
      </c>
      <c r="L318">
        <v>15</v>
      </c>
      <c r="M318">
        <v>3</v>
      </c>
      <c r="N318">
        <v>5</v>
      </c>
      <c r="O318">
        <v>23</v>
      </c>
      <c r="P318">
        <v>22</v>
      </c>
      <c r="Q318">
        <v>4</v>
      </c>
      <c r="R318">
        <v>12</v>
      </c>
      <c r="S318">
        <v>2</v>
      </c>
      <c r="T318">
        <v>2</v>
      </c>
      <c r="U318">
        <v>1</v>
      </c>
      <c r="V318">
        <v>0</v>
      </c>
      <c r="W318">
        <v>1.75</v>
      </c>
      <c r="X318">
        <v>3.5</v>
      </c>
      <c r="Y318">
        <v>4.75</v>
      </c>
      <c r="Z318">
        <v>1.75</v>
      </c>
      <c r="AA318">
        <v>3.4</v>
      </c>
      <c r="AB318">
        <v>5</v>
      </c>
      <c r="AC318">
        <v>1.8</v>
      </c>
      <c r="AD318">
        <v>3.5</v>
      </c>
      <c r="AE318">
        <v>4.2</v>
      </c>
      <c r="AF318">
        <v>1.72</v>
      </c>
      <c r="AG318">
        <v>3.75</v>
      </c>
      <c r="AH318">
        <v>5</v>
      </c>
      <c r="AI318">
        <v>1.79</v>
      </c>
      <c r="AJ318">
        <v>3.59</v>
      </c>
      <c r="AK318">
        <v>5.49</v>
      </c>
      <c r="AL318">
        <v>1.8</v>
      </c>
      <c r="AM318">
        <v>3.3</v>
      </c>
      <c r="AN318">
        <v>5</v>
      </c>
      <c r="AO318">
        <v>1.73</v>
      </c>
      <c r="AP318">
        <v>3.5</v>
      </c>
      <c r="AQ318">
        <v>4.8</v>
      </c>
      <c r="AR318">
        <v>1.8</v>
      </c>
      <c r="AS318">
        <v>3.6</v>
      </c>
      <c r="AT318">
        <v>5.25</v>
      </c>
      <c r="AU318">
        <v>50</v>
      </c>
      <c r="AV318">
        <v>1.81</v>
      </c>
      <c r="AW318">
        <v>1.76</v>
      </c>
      <c r="AX318">
        <v>3.75</v>
      </c>
      <c r="AY318">
        <v>3.47</v>
      </c>
      <c r="AZ318">
        <v>5.7</v>
      </c>
      <c r="BA318">
        <v>4.99</v>
      </c>
      <c r="BB318">
        <v>45</v>
      </c>
      <c r="BC318">
        <v>2.25</v>
      </c>
      <c r="BD318">
        <v>2.12</v>
      </c>
      <c r="BE318">
        <v>1.8</v>
      </c>
      <c r="BF318">
        <v>1.69</v>
      </c>
      <c r="BG318">
        <v>23</v>
      </c>
      <c r="BH318">
        <v>-0.5</v>
      </c>
      <c r="BI318">
        <v>1.79</v>
      </c>
      <c r="BJ318">
        <v>1.73</v>
      </c>
      <c r="BK318">
        <v>2.21</v>
      </c>
      <c r="BL318">
        <v>2.12</v>
      </c>
      <c r="BM318">
        <v>1.76</v>
      </c>
      <c r="BN318">
        <v>3.61</v>
      </c>
      <c r="BO318">
        <v>5.68</v>
      </c>
    </row>
    <row r="319" spans="1:67">
      <c r="A319" t="s">
        <v>63</v>
      </c>
      <c r="B319" s="77">
        <v>41735</v>
      </c>
      <c r="C319" t="s">
        <v>81</v>
      </c>
      <c r="D319" t="s">
        <v>79</v>
      </c>
      <c r="E319">
        <v>1</v>
      </c>
      <c r="F319">
        <v>0</v>
      </c>
      <c r="G319" t="s">
        <v>70</v>
      </c>
      <c r="H319">
        <v>0</v>
      </c>
      <c r="I319">
        <v>0</v>
      </c>
      <c r="J319" t="s">
        <v>67</v>
      </c>
      <c r="K319">
        <v>6</v>
      </c>
      <c r="L319">
        <v>12</v>
      </c>
      <c r="M319">
        <v>1</v>
      </c>
      <c r="N319">
        <v>1</v>
      </c>
      <c r="O319">
        <v>20</v>
      </c>
      <c r="P319">
        <v>15</v>
      </c>
      <c r="Q319">
        <v>3</v>
      </c>
      <c r="R319">
        <v>3</v>
      </c>
      <c r="S319">
        <v>5</v>
      </c>
      <c r="T319">
        <v>2</v>
      </c>
      <c r="U319">
        <v>0</v>
      </c>
      <c r="V319">
        <v>0</v>
      </c>
      <c r="W319">
        <v>3</v>
      </c>
      <c r="X319">
        <v>3.25</v>
      </c>
      <c r="Y319">
        <v>2.38</v>
      </c>
      <c r="Z319">
        <v>3.1</v>
      </c>
      <c r="AA319">
        <v>3.3</v>
      </c>
      <c r="AB319">
        <v>2.2999999999999998</v>
      </c>
      <c r="AC319">
        <v>2.9</v>
      </c>
      <c r="AD319">
        <v>3.3</v>
      </c>
      <c r="AE319">
        <v>2.2999999999999998</v>
      </c>
      <c r="AF319">
        <v>3.1</v>
      </c>
      <c r="AG319">
        <v>3.3</v>
      </c>
      <c r="AH319">
        <v>2.2999999999999998</v>
      </c>
      <c r="AI319">
        <v>3.33</v>
      </c>
      <c r="AJ319">
        <v>3.42</v>
      </c>
      <c r="AK319">
        <v>2.34</v>
      </c>
      <c r="AL319">
        <v>3.1</v>
      </c>
      <c r="AM319">
        <v>3.1</v>
      </c>
      <c r="AN319">
        <v>2.4</v>
      </c>
      <c r="AO319">
        <v>3</v>
      </c>
      <c r="AP319">
        <v>3.2</v>
      </c>
      <c r="AQ319">
        <v>2.2999999999999998</v>
      </c>
      <c r="AR319">
        <v>3.2</v>
      </c>
      <c r="AS319">
        <v>3.3</v>
      </c>
      <c r="AT319">
        <v>2.4</v>
      </c>
      <c r="AU319">
        <v>50</v>
      </c>
      <c r="AV319">
        <v>3.33</v>
      </c>
      <c r="AW319">
        <v>3.07</v>
      </c>
      <c r="AX319">
        <v>3.42</v>
      </c>
      <c r="AY319">
        <v>3.24</v>
      </c>
      <c r="AZ319">
        <v>2.5</v>
      </c>
      <c r="BA319">
        <v>2.34</v>
      </c>
      <c r="BB319">
        <v>47</v>
      </c>
      <c r="BC319">
        <v>2</v>
      </c>
      <c r="BD319">
        <v>1.9</v>
      </c>
      <c r="BE319">
        <v>2</v>
      </c>
      <c r="BF319">
        <v>1.87</v>
      </c>
      <c r="BG319">
        <v>22</v>
      </c>
      <c r="BH319">
        <v>0.25</v>
      </c>
      <c r="BI319">
        <v>1.94</v>
      </c>
      <c r="BJ319">
        <v>1.87</v>
      </c>
      <c r="BK319">
        <v>2.0499999999999998</v>
      </c>
      <c r="BL319">
        <v>1.99</v>
      </c>
      <c r="BM319">
        <v>2.87</v>
      </c>
      <c r="BN319">
        <v>3.54</v>
      </c>
      <c r="BO319">
        <v>2.57</v>
      </c>
    </row>
    <row r="320" spans="1:67">
      <c r="A320" t="s">
        <v>63</v>
      </c>
      <c r="B320" s="77">
        <v>41736</v>
      </c>
      <c r="C320" t="s">
        <v>74</v>
      </c>
      <c r="D320" t="s">
        <v>69</v>
      </c>
      <c r="E320">
        <v>1</v>
      </c>
      <c r="F320">
        <v>2</v>
      </c>
      <c r="G320" t="s">
        <v>66</v>
      </c>
      <c r="H320">
        <v>0</v>
      </c>
      <c r="I320">
        <v>1</v>
      </c>
      <c r="J320" t="s">
        <v>66</v>
      </c>
      <c r="K320">
        <v>20</v>
      </c>
      <c r="L320">
        <v>5</v>
      </c>
      <c r="M320">
        <v>6</v>
      </c>
      <c r="N320">
        <v>3</v>
      </c>
      <c r="O320">
        <v>17</v>
      </c>
      <c r="P320">
        <v>16</v>
      </c>
      <c r="Q320">
        <v>8</v>
      </c>
      <c r="R320">
        <v>1</v>
      </c>
      <c r="S320">
        <v>1</v>
      </c>
      <c r="T320">
        <v>1</v>
      </c>
      <c r="U320">
        <v>0</v>
      </c>
      <c r="V320">
        <v>0</v>
      </c>
      <c r="W320">
        <v>3.8</v>
      </c>
      <c r="X320">
        <v>3.3</v>
      </c>
      <c r="Y320">
        <v>2</v>
      </c>
      <c r="Z320">
        <v>3.8</v>
      </c>
      <c r="AA320">
        <v>3.3</v>
      </c>
      <c r="AB320">
        <v>2</v>
      </c>
      <c r="AC320">
        <v>3.3</v>
      </c>
      <c r="AD320">
        <v>3.3</v>
      </c>
      <c r="AE320">
        <v>2.1</v>
      </c>
      <c r="AF320">
        <v>3.5</v>
      </c>
      <c r="AG320">
        <v>3.3</v>
      </c>
      <c r="AH320">
        <v>2.1</v>
      </c>
      <c r="AI320">
        <v>4.18</v>
      </c>
      <c r="AJ320">
        <v>3.37</v>
      </c>
      <c r="AK320">
        <v>2.06</v>
      </c>
      <c r="AL320">
        <v>3.8</v>
      </c>
      <c r="AM320">
        <v>3.1</v>
      </c>
      <c r="AN320">
        <v>2.1</v>
      </c>
      <c r="AO320">
        <v>3.6</v>
      </c>
      <c r="AP320">
        <v>3.25</v>
      </c>
      <c r="AQ320">
        <v>2</v>
      </c>
      <c r="AR320">
        <v>4</v>
      </c>
      <c r="AS320">
        <v>3.3</v>
      </c>
      <c r="AT320">
        <v>2.1</v>
      </c>
      <c r="AU320">
        <v>48</v>
      </c>
      <c r="AV320">
        <v>4.18</v>
      </c>
      <c r="AW320">
        <v>3.75</v>
      </c>
      <c r="AX320">
        <v>3.4</v>
      </c>
      <c r="AY320">
        <v>3.28</v>
      </c>
      <c r="AZ320">
        <v>2.14</v>
      </c>
      <c r="BA320">
        <v>2.0499999999999998</v>
      </c>
      <c r="BB320">
        <v>44</v>
      </c>
      <c r="BC320">
        <v>2.12</v>
      </c>
      <c r="BD320">
        <v>2.04</v>
      </c>
      <c r="BE320">
        <v>1.87</v>
      </c>
      <c r="BF320">
        <v>1.75</v>
      </c>
      <c r="BG320">
        <v>23</v>
      </c>
      <c r="BH320">
        <v>0.5</v>
      </c>
      <c r="BI320">
        <v>1.88</v>
      </c>
      <c r="BJ320">
        <v>1.82</v>
      </c>
      <c r="BK320">
        <v>2.08</v>
      </c>
      <c r="BL320">
        <v>2.04</v>
      </c>
      <c r="BM320">
        <v>3.76</v>
      </c>
      <c r="BN320">
        <v>3.47</v>
      </c>
      <c r="BO320">
        <v>2.15</v>
      </c>
    </row>
    <row r="321" spans="1:67">
      <c r="A321" t="s">
        <v>63</v>
      </c>
      <c r="B321" s="77">
        <v>41736</v>
      </c>
      <c r="C321" t="s">
        <v>65</v>
      </c>
      <c r="D321" t="s">
        <v>77</v>
      </c>
      <c r="E321">
        <v>2</v>
      </c>
      <c r="F321">
        <v>0</v>
      </c>
      <c r="G321" t="s">
        <v>70</v>
      </c>
      <c r="H321">
        <v>2</v>
      </c>
      <c r="I321">
        <v>0</v>
      </c>
      <c r="J321" t="s">
        <v>70</v>
      </c>
      <c r="K321">
        <v>17</v>
      </c>
      <c r="L321">
        <v>8</v>
      </c>
      <c r="M321">
        <v>4</v>
      </c>
      <c r="N321">
        <v>3</v>
      </c>
      <c r="O321">
        <v>13</v>
      </c>
      <c r="P321">
        <v>8</v>
      </c>
      <c r="Q321">
        <v>10</v>
      </c>
      <c r="R321">
        <v>2</v>
      </c>
      <c r="S321">
        <v>0</v>
      </c>
      <c r="T321">
        <v>1</v>
      </c>
      <c r="U321">
        <v>0</v>
      </c>
      <c r="V321">
        <v>0</v>
      </c>
      <c r="W321">
        <v>1.1399999999999999</v>
      </c>
      <c r="X321">
        <v>7.5</v>
      </c>
      <c r="Y321">
        <v>17</v>
      </c>
      <c r="Z321">
        <v>1.1499999999999999</v>
      </c>
      <c r="AA321">
        <v>7.25</v>
      </c>
      <c r="AB321">
        <v>17</v>
      </c>
      <c r="AC321">
        <v>1.1499999999999999</v>
      </c>
      <c r="AD321">
        <v>7</v>
      </c>
      <c r="AE321">
        <v>15</v>
      </c>
      <c r="AF321">
        <v>1.1599999999999999</v>
      </c>
      <c r="AG321">
        <v>7</v>
      </c>
      <c r="AH321">
        <v>15</v>
      </c>
      <c r="AI321">
        <v>1.19</v>
      </c>
      <c r="AJ321">
        <v>7.6</v>
      </c>
      <c r="AK321">
        <v>22</v>
      </c>
      <c r="AL321">
        <v>1.17</v>
      </c>
      <c r="AM321">
        <v>7</v>
      </c>
      <c r="AN321">
        <v>17</v>
      </c>
      <c r="AO321">
        <v>1.17</v>
      </c>
      <c r="AP321">
        <v>7</v>
      </c>
      <c r="AQ321">
        <v>13</v>
      </c>
      <c r="AR321">
        <v>1.18</v>
      </c>
      <c r="AS321">
        <v>8</v>
      </c>
      <c r="AT321">
        <v>19</v>
      </c>
      <c r="AU321">
        <v>48</v>
      </c>
      <c r="AV321">
        <v>1.19</v>
      </c>
      <c r="AW321">
        <v>1.1599999999999999</v>
      </c>
      <c r="AX321">
        <v>8.6999999999999993</v>
      </c>
      <c r="AY321">
        <v>7.21</v>
      </c>
      <c r="AZ321">
        <v>25</v>
      </c>
      <c r="BA321">
        <v>17.3</v>
      </c>
      <c r="BB321">
        <v>38</v>
      </c>
      <c r="BC321">
        <v>1.6</v>
      </c>
      <c r="BD321">
        <v>1.55</v>
      </c>
      <c r="BE321">
        <v>2.56</v>
      </c>
      <c r="BF321">
        <v>2.37</v>
      </c>
      <c r="BG321">
        <v>26</v>
      </c>
      <c r="BH321">
        <v>-2</v>
      </c>
      <c r="BI321">
        <v>2.02</v>
      </c>
      <c r="BJ321">
        <v>1.93</v>
      </c>
      <c r="BK321">
        <v>2</v>
      </c>
      <c r="BL321">
        <v>1.92</v>
      </c>
      <c r="BM321">
        <v>1.1399999999999999</v>
      </c>
      <c r="BN321">
        <v>9.4</v>
      </c>
      <c r="BO321">
        <v>24</v>
      </c>
    </row>
    <row r="322" spans="1:67">
      <c r="A322" t="s">
        <v>63</v>
      </c>
      <c r="B322" s="77">
        <v>41741</v>
      </c>
      <c r="C322" t="s">
        <v>78</v>
      </c>
      <c r="D322" t="s">
        <v>72</v>
      </c>
      <c r="E322">
        <v>3</v>
      </c>
      <c r="F322">
        <v>1</v>
      </c>
      <c r="G322" t="s">
        <v>70</v>
      </c>
      <c r="H322">
        <v>2</v>
      </c>
      <c r="I322">
        <v>0</v>
      </c>
      <c r="J322" t="s">
        <v>70</v>
      </c>
      <c r="K322">
        <v>22</v>
      </c>
      <c r="L322">
        <v>10</v>
      </c>
      <c r="M322">
        <v>7</v>
      </c>
      <c r="N322">
        <v>4</v>
      </c>
      <c r="O322">
        <v>4</v>
      </c>
      <c r="P322">
        <v>8</v>
      </c>
      <c r="Q322">
        <v>4</v>
      </c>
      <c r="R322">
        <v>5</v>
      </c>
      <c r="S322">
        <v>0</v>
      </c>
      <c r="T322">
        <v>3</v>
      </c>
      <c r="U322">
        <v>0</v>
      </c>
      <c r="V322">
        <v>0</v>
      </c>
      <c r="W322">
        <v>1.33</v>
      </c>
      <c r="X322">
        <v>4.75</v>
      </c>
      <c r="Y322">
        <v>10</v>
      </c>
      <c r="Z322">
        <v>1.35</v>
      </c>
      <c r="AA322">
        <v>4.5999999999999996</v>
      </c>
      <c r="AB322">
        <v>9</v>
      </c>
      <c r="AC322">
        <v>1.3</v>
      </c>
      <c r="AD322">
        <v>5</v>
      </c>
      <c r="AE322">
        <v>9</v>
      </c>
      <c r="AF322">
        <v>1.33</v>
      </c>
      <c r="AG322">
        <v>5</v>
      </c>
      <c r="AH322">
        <v>10</v>
      </c>
      <c r="AI322">
        <v>1.36</v>
      </c>
      <c r="AJ322">
        <v>5.0999999999999996</v>
      </c>
      <c r="AK322">
        <v>10.95</v>
      </c>
      <c r="AL322">
        <v>1.36</v>
      </c>
      <c r="AM322">
        <v>4.33</v>
      </c>
      <c r="AN322">
        <v>10</v>
      </c>
      <c r="AO322">
        <v>1.33</v>
      </c>
      <c r="AP322">
        <v>4.8</v>
      </c>
      <c r="AQ322">
        <v>8</v>
      </c>
      <c r="AR322">
        <v>1.36</v>
      </c>
      <c r="AS322">
        <v>5</v>
      </c>
      <c r="AT322">
        <v>11</v>
      </c>
      <c r="AU322">
        <v>49</v>
      </c>
      <c r="AV322">
        <v>1.4</v>
      </c>
      <c r="AW322">
        <v>1.34</v>
      </c>
      <c r="AX322">
        <v>5.2</v>
      </c>
      <c r="AY322">
        <v>4.87</v>
      </c>
      <c r="AZ322">
        <v>12</v>
      </c>
      <c r="BA322">
        <v>9.4600000000000009</v>
      </c>
      <c r="BB322">
        <v>46</v>
      </c>
      <c r="BC322">
        <v>1.85</v>
      </c>
      <c r="BD322">
        <v>1.77</v>
      </c>
      <c r="BE322">
        <v>2.12</v>
      </c>
      <c r="BF322">
        <v>2.02</v>
      </c>
      <c r="BG322">
        <v>28</v>
      </c>
      <c r="BH322">
        <v>-1.5</v>
      </c>
      <c r="BI322">
        <v>2.13</v>
      </c>
      <c r="BJ322">
        <v>2.0499999999999998</v>
      </c>
      <c r="BK322">
        <v>1.85</v>
      </c>
      <c r="BL322">
        <v>1.8</v>
      </c>
      <c r="BM322">
        <v>1.36</v>
      </c>
      <c r="BN322">
        <v>5.0599999999999996</v>
      </c>
      <c r="BO322">
        <v>11.41</v>
      </c>
    </row>
    <row r="323" spans="1:67">
      <c r="A323" t="s">
        <v>63</v>
      </c>
      <c r="B323" s="77">
        <v>41741</v>
      </c>
      <c r="C323" t="s">
        <v>84</v>
      </c>
      <c r="D323" t="s">
        <v>71</v>
      </c>
      <c r="E323">
        <v>1</v>
      </c>
      <c r="F323">
        <v>1</v>
      </c>
      <c r="G323" t="s">
        <v>67</v>
      </c>
      <c r="H323">
        <v>1</v>
      </c>
      <c r="I323">
        <v>0</v>
      </c>
      <c r="J323" t="s">
        <v>70</v>
      </c>
      <c r="K323">
        <v>16</v>
      </c>
      <c r="L323">
        <v>8</v>
      </c>
      <c r="M323">
        <v>3</v>
      </c>
      <c r="N323">
        <v>2</v>
      </c>
      <c r="O323">
        <v>15</v>
      </c>
      <c r="P323">
        <v>19</v>
      </c>
      <c r="Q323">
        <v>4</v>
      </c>
      <c r="R323">
        <v>1</v>
      </c>
      <c r="S323">
        <v>2</v>
      </c>
      <c r="T323">
        <v>2</v>
      </c>
      <c r="U323">
        <v>0</v>
      </c>
      <c r="V323">
        <v>0</v>
      </c>
      <c r="W323">
        <v>2.5</v>
      </c>
      <c r="X323">
        <v>3.1</v>
      </c>
      <c r="Y323">
        <v>2.9</v>
      </c>
      <c r="Z323">
        <v>2.35</v>
      </c>
      <c r="AA323">
        <v>3.1</v>
      </c>
      <c r="AB323">
        <v>3.1</v>
      </c>
      <c r="AC323">
        <v>2.2999999999999998</v>
      </c>
      <c r="AD323">
        <v>3.2</v>
      </c>
      <c r="AE323">
        <v>3</v>
      </c>
      <c r="AF323">
        <v>2.4</v>
      </c>
      <c r="AG323">
        <v>3.1</v>
      </c>
      <c r="AH323">
        <v>3.1</v>
      </c>
      <c r="AI323">
        <v>2.48</v>
      </c>
      <c r="AJ323">
        <v>3.25</v>
      </c>
      <c r="AK323">
        <v>3.24</v>
      </c>
      <c r="AL323">
        <v>2.5</v>
      </c>
      <c r="AM323">
        <v>3</v>
      </c>
      <c r="AN323">
        <v>3</v>
      </c>
      <c r="AO323">
        <v>2.38</v>
      </c>
      <c r="AP323">
        <v>3.13</v>
      </c>
      <c r="AQ323">
        <v>3</v>
      </c>
      <c r="AR323">
        <v>2.5</v>
      </c>
      <c r="AS323">
        <v>3.12</v>
      </c>
      <c r="AT323">
        <v>3.2</v>
      </c>
      <c r="AU323">
        <v>49</v>
      </c>
      <c r="AV323">
        <v>2.56</v>
      </c>
      <c r="AW323">
        <v>2.4300000000000002</v>
      </c>
      <c r="AX323">
        <v>3.4</v>
      </c>
      <c r="AY323">
        <v>3.13</v>
      </c>
      <c r="AZ323">
        <v>3.25</v>
      </c>
      <c r="BA323">
        <v>3.06</v>
      </c>
      <c r="BB323">
        <v>42</v>
      </c>
      <c r="BC323">
        <v>2.41</v>
      </c>
      <c r="BD323">
        <v>2.2799999999999998</v>
      </c>
      <c r="BE323">
        <v>1.69</v>
      </c>
      <c r="BF323">
        <v>1.6</v>
      </c>
      <c r="BG323">
        <v>25</v>
      </c>
      <c r="BH323">
        <v>0</v>
      </c>
      <c r="BI323">
        <v>1.74</v>
      </c>
      <c r="BJ323">
        <v>1.69</v>
      </c>
      <c r="BK323">
        <v>2.2799999999999998</v>
      </c>
      <c r="BL323">
        <v>2.19</v>
      </c>
      <c r="BM323">
        <v>2.4300000000000002</v>
      </c>
      <c r="BN323">
        <v>3.25</v>
      </c>
      <c r="BO323">
        <v>3.33</v>
      </c>
    </row>
    <row r="324" spans="1:67">
      <c r="A324" t="s">
        <v>63</v>
      </c>
      <c r="B324" s="77">
        <v>41742</v>
      </c>
      <c r="C324" t="s">
        <v>80</v>
      </c>
      <c r="D324" t="s">
        <v>81</v>
      </c>
      <c r="E324">
        <v>1</v>
      </c>
      <c r="F324">
        <v>1</v>
      </c>
      <c r="G324" t="s">
        <v>67</v>
      </c>
      <c r="H324">
        <v>1</v>
      </c>
      <c r="I324">
        <v>0</v>
      </c>
      <c r="J324" t="s">
        <v>70</v>
      </c>
      <c r="K324">
        <v>13</v>
      </c>
      <c r="L324">
        <v>10</v>
      </c>
      <c r="M324">
        <v>4</v>
      </c>
      <c r="N324">
        <v>2</v>
      </c>
      <c r="O324">
        <v>12</v>
      </c>
      <c r="P324">
        <v>20</v>
      </c>
      <c r="Q324">
        <v>7</v>
      </c>
      <c r="R324">
        <v>9</v>
      </c>
      <c r="S324">
        <v>3</v>
      </c>
      <c r="T324">
        <v>1</v>
      </c>
      <c r="U324">
        <v>0</v>
      </c>
      <c r="V324">
        <v>0</v>
      </c>
      <c r="W324">
        <v>3.1</v>
      </c>
      <c r="X324">
        <v>3.3</v>
      </c>
      <c r="Y324">
        <v>2.2999999999999998</v>
      </c>
      <c r="Z324">
        <v>3.2</v>
      </c>
      <c r="AA324">
        <v>3.2</v>
      </c>
      <c r="AB324">
        <v>2.25</v>
      </c>
      <c r="AC324">
        <v>2.85</v>
      </c>
      <c r="AD324">
        <v>3.2</v>
      </c>
      <c r="AE324">
        <v>2.4</v>
      </c>
      <c r="AF324">
        <v>3.2</v>
      </c>
      <c r="AG324">
        <v>3.2</v>
      </c>
      <c r="AH324">
        <v>2.2999999999999998</v>
      </c>
      <c r="AI324">
        <v>3.45</v>
      </c>
      <c r="AJ324">
        <v>3.22</v>
      </c>
      <c r="AK324">
        <v>2.38</v>
      </c>
      <c r="AL324">
        <v>3.1</v>
      </c>
      <c r="AM324">
        <v>3.1</v>
      </c>
      <c r="AN324">
        <v>2.4</v>
      </c>
      <c r="AO324">
        <v>3.2</v>
      </c>
      <c r="AP324">
        <v>3.13</v>
      </c>
      <c r="AQ324">
        <v>2.25</v>
      </c>
      <c r="AR324">
        <v>3.5</v>
      </c>
      <c r="AS324">
        <v>3.1</v>
      </c>
      <c r="AT324">
        <v>2.4</v>
      </c>
      <c r="AU324">
        <v>49</v>
      </c>
      <c r="AV324">
        <v>3.5</v>
      </c>
      <c r="AW324">
        <v>3.22</v>
      </c>
      <c r="AX324">
        <v>3.32</v>
      </c>
      <c r="AY324">
        <v>3.18</v>
      </c>
      <c r="AZ324">
        <v>2.4</v>
      </c>
      <c r="BA324">
        <v>2.31</v>
      </c>
      <c r="BB324">
        <v>44</v>
      </c>
      <c r="BC324">
        <v>2.38</v>
      </c>
      <c r="BD324">
        <v>2.2799999999999998</v>
      </c>
      <c r="BE324">
        <v>1.7</v>
      </c>
      <c r="BF324">
        <v>1.61</v>
      </c>
      <c r="BG324">
        <v>24</v>
      </c>
      <c r="BH324">
        <v>0</v>
      </c>
      <c r="BI324">
        <v>2.38</v>
      </c>
      <c r="BJ324">
        <v>2.27</v>
      </c>
      <c r="BK324">
        <v>1.7</v>
      </c>
      <c r="BL324">
        <v>1.64</v>
      </c>
      <c r="BM324">
        <v>3.54</v>
      </c>
      <c r="BN324">
        <v>3.34</v>
      </c>
      <c r="BO324">
        <v>2.2799999999999998</v>
      </c>
    </row>
    <row r="325" spans="1:67">
      <c r="A325" t="s">
        <v>63</v>
      </c>
      <c r="B325" s="77">
        <v>41742</v>
      </c>
      <c r="C325" t="s">
        <v>77</v>
      </c>
      <c r="D325" t="s">
        <v>82</v>
      </c>
      <c r="E325">
        <v>2</v>
      </c>
      <c r="F325">
        <v>4</v>
      </c>
      <c r="G325" t="s">
        <v>66</v>
      </c>
      <c r="H325">
        <v>2</v>
      </c>
      <c r="I325">
        <v>3</v>
      </c>
      <c r="J325" t="s">
        <v>66</v>
      </c>
      <c r="K325">
        <v>19</v>
      </c>
      <c r="L325">
        <v>15</v>
      </c>
      <c r="M325">
        <v>5</v>
      </c>
      <c r="N325">
        <v>10</v>
      </c>
      <c r="O325">
        <v>15</v>
      </c>
      <c r="P325">
        <v>20</v>
      </c>
      <c r="Q325">
        <v>8</v>
      </c>
      <c r="R325">
        <v>8</v>
      </c>
      <c r="S325">
        <v>2</v>
      </c>
      <c r="T325">
        <v>4</v>
      </c>
      <c r="U325">
        <v>0</v>
      </c>
      <c r="V325">
        <v>0</v>
      </c>
      <c r="W325">
        <v>2.2999999999999998</v>
      </c>
      <c r="X325">
        <v>3.1</v>
      </c>
      <c r="Y325">
        <v>3.2</v>
      </c>
      <c r="Z325">
        <v>2.2999999999999998</v>
      </c>
      <c r="AA325">
        <v>3.1</v>
      </c>
      <c r="AB325">
        <v>3.2</v>
      </c>
      <c r="AC325">
        <v>2.2000000000000002</v>
      </c>
      <c r="AD325">
        <v>3.2</v>
      </c>
      <c r="AE325">
        <v>3.2</v>
      </c>
      <c r="AF325">
        <v>2.37</v>
      </c>
      <c r="AG325">
        <v>3.1</v>
      </c>
      <c r="AH325">
        <v>3.25</v>
      </c>
      <c r="AI325">
        <v>2.5099999999999998</v>
      </c>
      <c r="AJ325">
        <v>3.16</v>
      </c>
      <c r="AK325">
        <v>3.28</v>
      </c>
      <c r="AL325">
        <v>2.5</v>
      </c>
      <c r="AM325">
        <v>3</v>
      </c>
      <c r="AN325">
        <v>3</v>
      </c>
      <c r="AO325">
        <v>2.38</v>
      </c>
      <c r="AP325">
        <v>3.13</v>
      </c>
      <c r="AQ325">
        <v>3</v>
      </c>
      <c r="AR325">
        <v>2.5</v>
      </c>
      <c r="AS325">
        <v>3.1</v>
      </c>
      <c r="AT325">
        <v>3.4</v>
      </c>
      <c r="AU325">
        <v>49</v>
      </c>
      <c r="AV325">
        <v>2.54</v>
      </c>
      <c r="AW325">
        <v>2.4</v>
      </c>
      <c r="AX325">
        <v>3.2</v>
      </c>
      <c r="AY325">
        <v>3.09</v>
      </c>
      <c r="AZ325">
        <v>3.4</v>
      </c>
      <c r="BA325">
        <v>3.15</v>
      </c>
      <c r="BB325">
        <v>44</v>
      </c>
      <c r="BC325">
        <v>2.44</v>
      </c>
      <c r="BD325">
        <v>2.3199999999999998</v>
      </c>
      <c r="BE325">
        <v>1.67</v>
      </c>
      <c r="BF325">
        <v>1.59</v>
      </c>
      <c r="BG325">
        <v>24</v>
      </c>
      <c r="BH325">
        <v>0</v>
      </c>
      <c r="BI325">
        <v>1.72</v>
      </c>
      <c r="BJ325">
        <v>1.66</v>
      </c>
      <c r="BK325">
        <v>2.31</v>
      </c>
      <c r="BL325">
        <v>2.23</v>
      </c>
      <c r="BM325">
        <v>2.8</v>
      </c>
      <c r="BN325">
        <v>3.12</v>
      </c>
      <c r="BO325">
        <v>2.92</v>
      </c>
    </row>
    <row r="326" spans="1:67">
      <c r="A326" t="s">
        <v>63</v>
      </c>
      <c r="B326" s="77">
        <v>41742</v>
      </c>
      <c r="C326" t="s">
        <v>69</v>
      </c>
      <c r="D326" t="s">
        <v>86</v>
      </c>
      <c r="E326">
        <v>1</v>
      </c>
      <c r="F326">
        <v>0</v>
      </c>
      <c r="G326" t="s">
        <v>70</v>
      </c>
      <c r="H326">
        <v>1</v>
      </c>
      <c r="I326">
        <v>0</v>
      </c>
      <c r="J326" t="s">
        <v>70</v>
      </c>
      <c r="K326">
        <v>18</v>
      </c>
      <c r="L326">
        <v>12</v>
      </c>
      <c r="M326">
        <v>3</v>
      </c>
      <c r="N326">
        <v>4</v>
      </c>
      <c r="O326">
        <v>18</v>
      </c>
      <c r="P326">
        <v>18</v>
      </c>
      <c r="Q326">
        <v>7</v>
      </c>
      <c r="R326">
        <v>7</v>
      </c>
      <c r="S326">
        <v>0</v>
      </c>
      <c r="T326">
        <v>4</v>
      </c>
      <c r="U326">
        <v>0</v>
      </c>
      <c r="V326">
        <v>1</v>
      </c>
      <c r="W326">
        <v>1.33</v>
      </c>
      <c r="X326">
        <v>5.25</v>
      </c>
      <c r="Y326">
        <v>8</v>
      </c>
      <c r="Z326">
        <v>1.33</v>
      </c>
      <c r="AA326">
        <v>4.75</v>
      </c>
      <c r="AB326">
        <v>9</v>
      </c>
      <c r="AC326">
        <v>1.35</v>
      </c>
      <c r="AD326">
        <v>4.8</v>
      </c>
      <c r="AE326">
        <v>7.6</v>
      </c>
      <c r="AF326">
        <v>1.4</v>
      </c>
      <c r="AG326">
        <v>4.5</v>
      </c>
      <c r="AH326">
        <v>8</v>
      </c>
      <c r="AI326">
        <v>1.37</v>
      </c>
      <c r="AJ326">
        <v>5.22</v>
      </c>
      <c r="AK326">
        <v>10.28</v>
      </c>
      <c r="AL326">
        <v>1.4</v>
      </c>
      <c r="AM326">
        <v>4.2</v>
      </c>
      <c r="AN326">
        <v>9</v>
      </c>
      <c r="AO326">
        <v>1.33</v>
      </c>
      <c r="AP326">
        <v>4.8</v>
      </c>
      <c r="AQ326">
        <v>9.5</v>
      </c>
      <c r="AR326">
        <v>1.36</v>
      </c>
      <c r="AS326">
        <v>5</v>
      </c>
      <c r="AT326">
        <v>11</v>
      </c>
      <c r="AU326">
        <v>48</v>
      </c>
      <c r="AV326">
        <v>1.4</v>
      </c>
      <c r="AW326">
        <v>1.33</v>
      </c>
      <c r="AX326">
        <v>5.5</v>
      </c>
      <c r="AY326">
        <v>4.8600000000000003</v>
      </c>
      <c r="AZ326">
        <v>11</v>
      </c>
      <c r="BA326">
        <v>9.57</v>
      </c>
      <c r="BB326">
        <v>44</v>
      </c>
      <c r="BC326">
        <v>1.8</v>
      </c>
      <c r="BD326">
        <v>1.72</v>
      </c>
      <c r="BE326">
        <v>2.2200000000000002</v>
      </c>
      <c r="BF326">
        <v>2.09</v>
      </c>
      <c r="BG326">
        <v>27</v>
      </c>
      <c r="BH326">
        <v>-1.5</v>
      </c>
      <c r="BI326">
        <v>2.1</v>
      </c>
      <c r="BJ326">
        <v>1.99</v>
      </c>
      <c r="BK326">
        <v>1.9</v>
      </c>
      <c r="BL326">
        <v>1.84</v>
      </c>
      <c r="BM326">
        <v>1.29</v>
      </c>
      <c r="BN326">
        <v>6.57</v>
      </c>
      <c r="BO326">
        <v>10.65</v>
      </c>
    </row>
    <row r="327" spans="1:67">
      <c r="A327" t="s">
        <v>63</v>
      </c>
      <c r="B327" s="77">
        <v>41742</v>
      </c>
      <c r="C327" t="s">
        <v>79</v>
      </c>
      <c r="D327" t="s">
        <v>75</v>
      </c>
      <c r="E327">
        <v>4</v>
      </c>
      <c r="F327">
        <v>2</v>
      </c>
      <c r="G327" t="s">
        <v>70</v>
      </c>
      <c r="H327">
        <v>1</v>
      </c>
      <c r="I327">
        <v>1</v>
      </c>
      <c r="J327" t="s">
        <v>67</v>
      </c>
      <c r="K327">
        <v>16</v>
      </c>
      <c r="L327">
        <v>17</v>
      </c>
      <c r="M327">
        <v>7</v>
      </c>
      <c r="N327">
        <v>7</v>
      </c>
      <c r="O327">
        <v>10</v>
      </c>
      <c r="P327">
        <v>13</v>
      </c>
      <c r="Q327">
        <v>4</v>
      </c>
      <c r="R327">
        <v>1</v>
      </c>
      <c r="S327">
        <v>5</v>
      </c>
      <c r="T327">
        <v>1</v>
      </c>
      <c r="U327">
        <v>0</v>
      </c>
      <c r="V327">
        <v>1</v>
      </c>
      <c r="W327">
        <v>1.62</v>
      </c>
      <c r="X327">
        <v>4</v>
      </c>
      <c r="Y327">
        <v>5.25</v>
      </c>
      <c r="Z327">
        <v>1.62</v>
      </c>
      <c r="AA327">
        <v>3.7</v>
      </c>
      <c r="AB327">
        <v>5.5</v>
      </c>
      <c r="AC327">
        <v>1.65</v>
      </c>
      <c r="AD327">
        <v>3.6</v>
      </c>
      <c r="AE327">
        <v>5.0999999999999996</v>
      </c>
      <c r="AF327">
        <v>1.61</v>
      </c>
      <c r="AG327">
        <v>3.8</v>
      </c>
      <c r="AH327">
        <v>5.5</v>
      </c>
      <c r="AI327">
        <v>1.65</v>
      </c>
      <c r="AJ327">
        <v>3.92</v>
      </c>
      <c r="AK327">
        <v>6.37</v>
      </c>
      <c r="AL327">
        <v>1.62</v>
      </c>
      <c r="AM327">
        <v>3.6</v>
      </c>
      <c r="AN327">
        <v>6</v>
      </c>
      <c r="AO327">
        <v>1.62</v>
      </c>
      <c r="AP327">
        <v>3.8</v>
      </c>
      <c r="AQ327">
        <v>5</v>
      </c>
      <c r="AR327">
        <v>1.62</v>
      </c>
      <c r="AS327">
        <v>3.9</v>
      </c>
      <c r="AT327">
        <v>6.5</v>
      </c>
      <c r="AU327">
        <v>49</v>
      </c>
      <c r="AV327">
        <v>1.7</v>
      </c>
      <c r="AW327">
        <v>1.62</v>
      </c>
      <c r="AX327">
        <v>4.0199999999999996</v>
      </c>
      <c r="AY327">
        <v>3.79</v>
      </c>
      <c r="AZ327">
        <v>6.4</v>
      </c>
      <c r="BA327">
        <v>5.64</v>
      </c>
      <c r="BB327">
        <v>46</v>
      </c>
      <c r="BC327">
        <v>1.99</v>
      </c>
      <c r="BD327">
        <v>1.91</v>
      </c>
      <c r="BE327">
        <v>1.99</v>
      </c>
      <c r="BF327">
        <v>1.88</v>
      </c>
      <c r="BG327">
        <v>27</v>
      </c>
      <c r="BH327">
        <v>-1</v>
      </c>
      <c r="BI327">
        <v>2.2000000000000002</v>
      </c>
      <c r="BJ327">
        <v>2.12</v>
      </c>
      <c r="BK327">
        <v>1.81</v>
      </c>
      <c r="BL327">
        <v>1.74</v>
      </c>
      <c r="BM327">
        <v>1.63</v>
      </c>
      <c r="BN327">
        <v>4.03</v>
      </c>
      <c r="BO327">
        <v>6.42</v>
      </c>
    </row>
    <row r="328" spans="1:67">
      <c r="A328" t="s">
        <v>63</v>
      </c>
      <c r="B328" s="77">
        <v>41742</v>
      </c>
      <c r="C328" t="s">
        <v>64</v>
      </c>
      <c r="D328" t="s">
        <v>73</v>
      </c>
      <c r="E328">
        <v>0</v>
      </c>
      <c r="F328">
        <v>4</v>
      </c>
      <c r="G328" t="s">
        <v>66</v>
      </c>
      <c r="H328">
        <v>0</v>
      </c>
      <c r="I328">
        <v>1</v>
      </c>
      <c r="J328" t="s">
        <v>66</v>
      </c>
      <c r="K328">
        <v>14</v>
      </c>
      <c r="L328">
        <v>16</v>
      </c>
      <c r="M328">
        <v>6</v>
      </c>
      <c r="N328">
        <v>6</v>
      </c>
      <c r="O328">
        <v>20</v>
      </c>
      <c r="P328">
        <v>19</v>
      </c>
      <c r="Q328">
        <v>11</v>
      </c>
      <c r="R328">
        <v>4</v>
      </c>
      <c r="S328">
        <v>5</v>
      </c>
      <c r="T328">
        <v>3</v>
      </c>
      <c r="U328">
        <v>1</v>
      </c>
      <c r="V328">
        <v>0</v>
      </c>
      <c r="W328">
        <v>3.2</v>
      </c>
      <c r="X328">
        <v>3.3</v>
      </c>
      <c r="Y328">
        <v>2.25</v>
      </c>
      <c r="Z328">
        <v>3.1</v>
      </c>
      <c r="AA328">
        <v>3.25</v>
      </c>
      <c r="AB328">
        <v>2.25</v>
      </c>
      <c r="AC328">
        <v>2.85</v>
      </c>
      <c r="AD328">
        <v>3.2</v>
      </c>
      <c r="AE328">
        <v>2.4</v>
      </c>
      <c r="AF328">
        <v>3.1</v>
      </c>
      <c r="AG328">
        <v>3.3</v>
      </c>
      <c r="AH328">
        <v>2.2999999999999998</v>
      </c>
      <c r="AI328">
        <v>3.45</v>
      </c>
      <c r="AJ328">
        <v>3.38</v>
      </c>
      <c r="AK328">
        <v>2.2999999999999998</v>
      </c>
      <c r="AL328">
        <v>3.2</v>
      </c>
      <c r="AM328">
        <v>3.2</v>
      </c>
      <c r="AN328">
        <v>2.2999999999999998</v>
      </c>
      <c r="AO328">
        <v>3.13</v>
      </c>
      <c r="AP328">
        <v>3.2</v>
      </c>
      <c r="AQ328">
        <v>2.25</v>
      </c>
      <c r="AR328">
        <v>3.3</v>
      </c>
      <c r="AS328">
        <v>3.3</v>
      </c>
      <c r="AT328">
        <v>2.38</v>
      </c>
      <c r="AU328">
        <v>49</v>
      </c>
      <c r="AV328">
        <v>3.45</v>
      </c>
      <c r="AW328">
        <v>3.2</v>
      </c>
      <c r="AX328">
        <v>3.45</v>
      </c>
      <c r="AY328">
        <v>3.27</v>
      </c>
      <c r="AZ328">
        <v>2.4</v>
      </c>
      <c r="BA328">
        <v>2.27</v>
      </c>
      <c r="BB328">
        <v>45</v>
      </c>
      <c r="BC328">
        <v>2.15</v>
      </c>
      <c r="BD328">
        <v>2.06</v>
      </c>
      <c r="BE328">
        <v>1.85</v>
      </c>
      <c r="BF328">
        <v>1.74</v>
      </c>
      <c r="BG328">
        <v>24</v>
      </c>
      <c r="BH328">
        <v>0.25</v>
      </c>
      <c r="BI328">
        <v>1.98</v>
      </c>
      <c r="BJ328">
        <v>1.92</v>
      </c>
      <c r="BK328">
        <v>1.97</v>
      </c>
      <c r="BL328">
        <v>1.94</v>
      </c>
      <c r="BM328">
        <v>3.51</v>
      </c>
      <c r="BN328">
        <v>3.7</v>
      </c>
      <c r="BO328">
        <v>2.15</v>
      </c>
    </row>
    <row r="329" spans="1:67">
      <c r="A329" t="s">
        <v>63</v>
      </c>
      <c r="B329" s="77">
        <v>41742</v>
      </c>
      <c r="C329" t="s">
        <v>83</v>
      </c>
      <c r="D329" t="s">
        <v>74</v>
      </c>
      <c r="E329">
        <v>2</v>
      </c>
      <c r="F329">
        <v>1</v>
      </c>
      <c r="G329" t="s">
        <v>70</v>
      </c>
      <c r="H329">
        <v>0</v>
      </c>
      <c r="I329">
        <v>0</v>
      </c>
      <c r="J329" t="s">
        <v>67</v>
      </c>
      <c r="K329">
        <v>11</v>
      </c>
      <c r="L329">
        <v>10</v>
      </c>
      <c r="M329">
        <v>5</v>
      </c>
      <c r="N329">
        <v>4</v>
      </c>
      <c r="O329">
        <v>18</v>
      </c>
      <c r="P329">
        <v>14</v>
      </c>
      <c r="Q329">
        <v>3</v>
      </c>
      <c r="R329">
        <v>5</v>
      </c>
      <c r="S329">
        <v>3</v>
      </c>
      <c r="T329">
        <v>4</v>
      </c>
      <c r="U329">
        <v>0</v>
      </c>
      <c r="V329">
        <v>0</v>
      </c>
      <c r="W329">
        <v>1.83</v>
      </c>
      <c r="X329">
        <v>3.4</v>
      </c>
      <c r="Y329">
        <v>4.5</v>
      </c>
      <c r="Z329">
        <v>1.75</v>
      </c>
      <c r="AA329">
        <v>3.3</v>
      </c>
      <c r="AB329">
        <v>5.0999999999999996</v>
      </c>
      <c r="AC329">
        <v>1.8</v>
      </c>
      <c r="AD329">
        <v>3.5</v>
      </c>
      <c r="AE329">
        <v>4.2</v>
      </c>
      <c r="AF329">
        <v>1.8</v>
      </c>
      <c r="AG329">
        <v>3.5</v>
      </c>
      <c r="AH329">
        <v>4.5</v>
      </c>
      <c r="AI329">
        <v>1.85</v>
      </c>
      <c r="AJ329">
        <v>3.57</v>
      </c>
      <c r="AK329">
        <v>5.03</v>
      </c>
      <c r="AL329">
        <v>1.85</v>
      </c>
      <c r="AM329">
        <v>3.3</v>
      </c>
      <c r="AN329">
        <v>4.5</v>
      </c>
      <c r="AO329">
        <v>1.8</v>
      </c>
      <c r="AP329">
        <v>3.3</v>
      </c>
      <c r="AQ329">
        <v>4.8</v>
      </c>
      <c r="AR329">
        <v>1.8</v>
      </c>
      <c r="AS329">
        <v>3.5</v>
      </c>
      <c r="AT329">
        <v>5</v>
      </c>
      <c r="AU329">
        <v>49</v>
      </c>
      <c r="AV329">
        <v>1.9</v>
      </c>
      <c r="AW329">
        <v>1.81</v>
      </c>
      <c r="AX329">
        <v>3.6</v>
      </c>
      <c r="AY329">
        <v>3.42</v>
      </c>
      <c r="AZ329">
        <v>5.4</v>
      </c>
      <c r="BA329">
        <v>4.72</v>
      </c>
      <c r="BB329">
        <v>45</v>
      </c>
      <c r="BC329">
        <v>2.1</v>
      </c>
      <c r="BD329">
        <v>2.0299999999999998</v>
      </c>
      <c r="BE329">
        <v>1.87</v>
      </c>
      <c r="BF329">
        <v>1.77</v>
      </c>
      <c r="BG329">
        <v>25</v>
      </c>
      <c r="BH329">
        <v>-0.5</v>
      </c>
      <c r="BI329">
        <v>1.85</v>
      </c>
      <c r="BJ329">
        <v>1.79</v>
      </c>
      <c r="BK329">
        <v>2.14</v>
      </c>
      <c r="BL329">
        <v>2.06</v>
      </c>
      <c r="BM329">
        <v>1.79</v>
      </c>
      <c r="BN329">
        <v>3.52</v>
      </c>
      <c r="BO329">
        <v>5.65</v>
      </c>
    </row>
    <row r="330" spans="1:67">
      <c r="A330" t="s">
        <v>63</v>
      </c>
      <c r="B330" s="77">
        <v>41742</v>
      </c>
      <c r="C330" t="s">
        <v>68</v>
      </c>
      <c r="D330" t="s">
        <v>85</v>
      </c>
      <c r="E330">
        <v>3</v>
      </c>
      <c r="F330">
        <v>5</v>
      </c>
      <c r="G330" t="s">
        <v>66</v>
      </c>
      <c r="H330">
        <v>1</v>
      </c>
      <c r="I330">
        <v>2</v>
      </c>
      <c r="J330" t="s">
        <v>66</v>
      </c>
      <c r="K330">
        <v>8</v>
      </c>
      <c r="L330">
        <v>29</v>
      </c>
      <c r="M330">
        <v>6</v>
      </c>
      <c r="N330">
        <v>11</v>
      </c>
      <c r="O330">
        <v>11</v>
      </c>
      <c r="P330">
        <v>12</v>
      </c>
      <c r="Q330">
        <v>3</v>
      </c>
      <c r="R330">
        <v>7</v>
      </c>
      <c r="S330">
        <v>2</v>
      </c>
      <c r="T330">
        <v>3</v>
      </c>
      <c r="U330">
        <v>1</v>
      </c>
      <c r="V330">
        <v>0</v>
      </c>
      <c r="W330">
        <v>3.2</v>
      </c>
      <c r="X330">
        <v>3.3</v>
      </c>
      <c r="Y330">
        <v>2.25</v>
      </c>
      <c r="Z330">
        <v>3.2</v>
      </c>
      <c r="AA330">
        <v>3.2</v>
      </c>
      <c r="AB330">
        <v>2.25</v>
      </c>
      <c r="AC330">
        <v>3</v>
      </c>
      <c r="AD330">
        <v>3.2</v>
      </c>
      <c r="AE330">
        <v>2.2999999999999998</v>
      </c>
      <c r="AF330">
        <v>3.2</v>
      </c>
      <c r="AG330">
        <v>3.3</v>
      </c>
      <c r="AH330">
        <v>2.25</v>
      </c>
      <c r="AI330">
        <v>3.47</v>
      </c>
      <c r="AJ330">
        <v>3.45</v>
      </c>
      <c r="AK330">
        <v>2.2599999999999998</v>
      </c>
      <c r="AL330">
        <v>3.2</v>
      </c>
      <c r="AM330">
        <v>3.2</v>
      </c>
      <c r="AN330">
        <v>2.2999999999999998</v>
      </c>
      <c r="AO330">
        <v>3.13</v>
      </c>
      <c r="AP330">
        <v>3.2</v>
      </c>
      <c r="AQ330">
        <v>2.25</v>
      </c>
      <c r="AR330">
        <v>3.4</v>
      </c>
      <c r="AS330">
        <v>3.3</v>
      </c>
      <c r="AT330">
        <v>2.2999999999999998</v>
      </c>
      <c r="AU330">
        <v>49</v>
      </c>
      <c r="AV330">
        <v>3.55</v>
      </c>
      <c r="AW330">
        <v>3.23</v>
      </c>
      <c r="AX330">
        <v>3.45</v>
      </c>
      <c r="AY330">
        <v>3.27</v>
      </c>
      <c r="AZ330">
        <v>2.4</v>
      </c>
      <c r="BA330">
        <v>2.2599999999999998</v>
      </c>
      <c r="BB330">
        <v>46</v>
      </c>
      <c r="BC330">
        <v>2</v>
      </c>
      <c r="BD330">
        <v>1.91</v>
      </c>
      <c r="BE330">
        <v>1.94</v>
      </c>
      <c r="BF330">
        <v>1.87</v>
      </c>
      <c r="BG330">
        <v>24</v>
      </c>
      <c r="BH330">
        <v>0.25</v>
      </c>
      <c r="BI330">
        <v>1.99</v>
      </c>
      <c r="BJ330">
        <v>1.93</v>
      </c>
      <c r="BK330">
        <v>1.96</v>
      </c>
      <c r="BL330">
        <v>1.93</v>
      </c>
      <c r="BM330">
        <v>3.15</v>
      </c>
      <c r="BN330">
        <v>3.46</v>
      </c>
      <c r="BO330">
        <v>2.42</v>
      </c>
    </row>
    <row r="331" spans="1:67">
      <c r="A331" t="s">
        <v>63</v>
      </c>
      <c r="B331" s="77">
        <v>41743</v>
      </c>
      <c r="C331" t="s">
        <v>76</v>
      </c>
      <c r="D331" t="s">
        <v>65</v>
      </c>
      <c r="E331">
        <v>0</v>
      </c>
      <c r="F331">
        <v>2</v>
      </c>
      <c r="G331" t="s">
        <v>66</v>
      </c>
      <c r="H331">
        <v>0</v>
      </c>
      <c r="I331">
        <v>2</v>
      </c>
      <c r="J331" t="s">
        <v>66</v>
      </c>
      <c r="K331">
        <v>12</v>
      </c>
      <c r="L331">
        <v>11</v>
      </c>
      <c r="M331">
        <v>1</v>
      </c>
      <c r="N331">
        <v>3</v>
      </c>
      <c r="O331">
        <v>12</v>
      </c>
      <c r="P331">
        <v>15</v>
      </c>
      <c r="Q331">
        <v>3</v>
      </c>
      <c r="R331">
        <v>5</v>
      </c>
      <c r="S331">
        <v>1</v>
      </c>
      <c r="T331">
        <v>3</v>
      </c>
      <c r="U331">
        <v>0</v>
      </c>
      <c r="V331">
        <v>0</v>
      </c>
      <c r="W331">
        <v>5.5</v>
      </c>
      <c r="X331">
        <v>3.8</v>
      </c>
      <c r="Y331">
        <v>1.62</v>
      </c>
      <c r="Z331">
        <v>6</v>
      </c>
      <c r="AA331">
        <v>3.75</v>
      </c>
      <c r="AB331">
        <v>1.57</v>
      </c>
      <c r="AC331">
        <v>5.6</v>
      </c>
      <c r="AD331">
        <v>3.75</v>
      </c>
      <c r="AE331">
        <v>1.57</v>
      </c>
      <c r="AF331">
        <v>6</v>
      </c>
      <c r="AG331">
        <v>3.75</v>
      </c>
      <c r="AH331">
        <v>1.6</v>
      </c>
      <c r="AI331">
        <v>6.5</v>
      </c>
      <c r="AJ331">
        <v>3.94</v>
      </c>
      <c r="AK331">
        <v>1.63</v>
      </c>
      <c r="AL331">
        <v>6</v>
      </c>
      <c r="AM331">
        <v>3.6</v>
      </c>
      <c r="AN331">
        <v>1.62</v>
      </c>
      <c r="AO331">
        <v>5.75</v>
      </c>
      <c r="AP331">
        <v>3.75</v>
      </c>
      <c r="AQ331">
        <v>1.57</v>
      </c>
      <c r="AR331">
        <v>6.5</v>
      </c>
      <c r="AS331">
        <v>3.8</v>
      </c>
      <c r="AT331">
        <v>1.65</v>
      </c>
      <c r="AU331">
        <v>46</v>
      </c>
      <c r="AV331">
        <v>7</v>
      </c>
      <c r="AW331">
        <v>5.94</v>
      </c>
      <c r="AX331">
        <v>4.0999999999999996</v>
      </c>
      <c r="AY331">
        <v>3.73</v>
      </c>
      <c r="AZ331">
        <v>1.65</v>
      </c>
      <c r="BA331">
        <v>1.6</v>
      </c>
      <c r="BB331">
        <v>43</v>
      </c>
      <c r="BC331">
        <v>2.1</v>
      </c>
      <c r="BD331">
        <v>2</v>
      </c>
      <c r="BE331">
        <v>1.86</v>
      </c>
      <c r="BF331">
        <v>1.79</v>
      </c>
      <c r="BG331">
        <v>24</v>
      </c>
      <c r="BH331">
        <v>1</v>
      </c>
      <c r="BI331">
        <v>1.91</v>
      </c>
      <c r="BJ331">
        <v>1.77</v>
      </c>
      <c r="BK331">
        <v>2.2000000000000002</v>
      </c>
      <c r="BL331">
        <v>2.08</v>
      </c>
      <c r="BM331">
        <v>5.83</v>
      </c>
      <c r="BN331">
        <v>3.72</v>
      </c>
      <c r="BO331">
        <v>1.72</v>
      </c>
    </row>
    <row r="332" spans="1:67">
      <c r="A332" t="s">
        <v>63</v>
      </c>
      <c r="B332" s="77">
        <v>41748</v>
      </c>
      <c r="C332" t="s">
        <v>72</v>
      </c>
      <c r="D332" t="s">
        <v>68</v>
      </c>
      <c r="E332">
        <v>1</v>
      </c>
      <c r="F332">
        <v>2</v>
      </c>
      <c r="G332" t="s">
        <v>66</v>
      </c>
      <c r="H332">
        <v>0</v>
      </c>
      <c r="I332">
        <v>0</v>
      </c>
      <c r="J332" t="s">
        <v>67</v>
      </c>
      <c r="K332">
        <v>17</v>
      </c>
      <c r="L332">
        <v>18</v>
      </c>
      <c r="M332">
        <v>6</v>
      </c>
      <c r="N332">
        <v>6</v>
      </c>
      <c r="O332">
        <v>17</v>
      </c>
      <c r="P332">
        <v>12</v>
      </c>
      <c r="Q332">
        <v>1</v>
      </c>
      <c r="R332">
        <v>5</v>
      </c>
      <c r="S332">
        <v>4</v>
      </c>
      <c r="T332">
        <v>2</v>
      </c>
      <c r="U332">
        <v>0</v>
      </c>
      <c r="V332">
        <v>0</v>
      </c>
      <c r="W332">
        <v>2.0499999999999998</v>
      </c>
      <c r="X332">
        <v>3.1</v>
      </c>
      <c r="Y332">
        <v>4</v>
      </c>
      <c r="Z332">
        <v>2</v>
      </c>
      <c r="AA332">
        <v>3.1</v>
      </c>
      <c r="AB332">
        <v>4.05</v>
      </c>
      <c r="AC332">
        <v>2</v>
      </c>
      <c r="AD332">
        <v>3</v>
      </c>
      <c r="AE332">
        <v>3.9</v>
      </c>
      <c r="AF332">
        <v>2.0499999999999998</v>
      </c>
      <c r="AG332">
        <v>3.2</v>
      </c>
      <c r="AH332">
        <v>3.6</v>
      </c>
      <c r="AI332">
        <v>2.04</v>
      </c>
      <c r="AJ332">
        <v>3.29</v>
      </c>
      <c r="AK332">
        <v>4.4400000000000004</v>
      </c>
      <c r="AL332">
        <v>2.1</v>
      </c>
      <c r="AM332">
        <v>3</v>
      </c>
      <c r="AN332">
        <v>4</v>
      </c>
      <c r="AO332">
        <v>2</v>
      </c>
      <c r="AP332">
        <v>3</v>
      </c>
      <c r="AQ332">
        <v>4</v>
      </c>
      <c r="AR332">
        <v>2.0499999999999998</v>
      </c>
      <c r="AS332">
        <v>3.25</v>
      </c>
      <c r="AT332">
        <v>4.2</v>
      </c>
      <c r="AU332">
        <v>45</v>
      </c>
      <c r="AV332">
        <v>2.1</v>
      </c>
      <c r="AW332">
        <v>2.04</v>
      </c>
      <c r="AX332">
        <v>3.3</v>
      </c>
      <c r="AY332">
        <v>3.14</v>
      </c>
      <c r="AZ332">
        <v>4.5</v>
      </c>
      <c r="BA332">
        <v>3.98</v>
      </c>
      <c r="BB332">
        <v>45</v>
      </c>
      <c r="BC332">
        <v>1.95</v>
      </c>
      <c r="BD332">
        <v>1.9</v>
      </c>
      <c r="BE332">
        <v>2.04</v>
      </c>
      <c r="BF332">
        <v>1.89</v>
      </c>
      <c r="BG332">
        <v>23</v>
      </c>
      <c r="BH332">
        <v>-0.5</v>
      </c>
      <c r="BI332">
        <v>2.0499999999999998</v>
      </c>
      <c r="BJ332">
        <v>2.02</v>
      </c>
      <c r="BK332">
        <v>1.9</v>
      </c>
      <c r="BL332">
        <v>1.84</v>
      </c>
      <c r="BM332">
        <v>1.91</v>
      </c>
      <c r="BN332">
        <v>3.65</v>
      </c>
      <c r="BO332">
        <v>4.53</v>
      </c>
    </row>
    <row r="333" spans="1:67">
      <c r="A333" t="s">
        <v>63</v>
      </c>
      <c r="B333" s="77">
        <v>41748</v>
      </c>
      <c r="C333" t="s">
        <v>86</v>
      </c>
      <c r="D333" t="s">
        <v>64</v>
      </c>
      <c r="E333">
        <v>2</v>
      </c>
      <c r="F333">
        <v>1</v>
      </c>
      <c r="G333" t="s">
        <v>70</v>
      </c>
      <c r="H333">
        <v>1</v>
      </c>
      <c r="I333">
        <v>0</v>
      </c>
      <c r="J333" t="s">
        <v>70</v>
      </c>
      <c r="K333">
        <v>20</v>
      </c>
      <c r="L333">
        <v>7</v>
      </c>
      <c r="M333">
        <v>11</v>
      </c>
      <c r="N333">
        <v>2</v>
      </c>
      <c r="O333">
        <v>12</v>
      </c>
      <c r="P333">
        <v>23</v>
      </c>
      <c r="Q333">
        <v>6</v>
      </c>
      <c r="R333">
        <v>3</v>
      </c>
      <c r="S333">
        <v>2</v>
      </c>
      <c r="T333">
        <v>2</v>
      </c>
      <c r="U333">
        <v>0</v>
      </c>
      <c r="V333">
        <v>0</v>
      </c>
      <c r="W333">
        <v>2.2000000000000002</v>
      </c>
      <c r="X333">
        <v>3.4</v>
      </c>
      <c r="Y333">
        <v>3.2</v>
      </c>
      <c r="Z333">
        <v>2.25</v>
      </c>
      <c r="AA333">
        <v>3.3</v>
      </c>
      <c r="AB333">
        <v>3.1</v>
      </c>
      <c r="AC333">
        <v>2.2000000000000002</v>
      </c>
      <c r="AD333">
        <v>3.3</v>
      </c>
      <c r="AE333">
        <v>3.1</v>
      </c>
      <c r="AF333">
        <v>2.2999999999999998</v>
      </c>
      <c r="AG333">
        <v>3.3</v>
      </c>
      <c r="AH333">
        <v>3.1</v>
      </c>
      <c r="AI333">
        <v>2.23</v>
      </c>
      <c r="AJ333">
        <v>3.43</v>
      </c>
      <c r="AK333">
        <v>3.58</v>
      </c>
      <c r="AL333">
        <v>2.25</v>
      </c>
      <c r="AM333">
        <v>3.3</v>
      </c>
      <c r="AN333">
        <v>3.2</v>
      </c>
      <c r="AO333">
        <v>2.2000000000000002</v>
      </c>
      <c r="AP333">
        <v>3.3</v>
      </c>
      <c r="AQ333">
        <v>3.2</v>
      </c>
      <c r="AR333">
        <v>2.25</v>
      </c>
      <c r="AS333">
        <v>3.3</v>
      </c>
      <c r="AT333">
        <v>3.7</v>
      </c>
      <c r="AU333">
        <v>45</v>
      </c>
      <c r="AV333">
        <v>2.2999999999999998</v>
      </c>
      <c r="AW333">
        <v>2.2000000000000002</v>
      </c>
      <c r="AX333">
        <v>3.55</v>
      </c>
      <c r="AY333">
        <v>3.31</v>
      </c>
      <c r="AZ333">
        <v>3.75</v>
      </c>
      <c r="BA333">
        <v>3.31</v>
      </c>
      <c r="BB333">
        <v>45</v>
      </c>
      <c r="BC333">
        <v>2.2200000000000002</v>
      </c>
      <c r="BD333">
        <v>2.06</v>
      </c>
      <c r="BE333">
        <v>1.82</v>
      </c>
      <c r="BF333">
        <v>1.74</v>
      </c>
      <c r="BG333">
        <v>21</v>
      </c>
      <c r="BH333">
        <v>-0.25</v>
      </c>
      <c r="BI333">
        <v>1.96</v>
      </c>
      <c r="BJ333">
        <v>1.89</v>
      </c>
      <c r="BK333">
        <v>2.0299999999999998</v>
      </c>
      <c r="BL333">
        <v>1.97</v>
      </c>
      <c r="BM333">
        <v>1.85</v>
      </c>
      <c r="BN333">
        <v>3.69</v>
      </c>
      <c r="BO333">
        <v>4.79</v>
      </c>
    </row>
    <row r="334" spans="1:67">
      <c r="A334" t="s">
        <v>63</v>
      </c>
      <c r="B334" s="77">
        <v>41748</v>
      </c>
      <c r="C334" t="s">
        <v>82</v>
      </c>
      <c r="D334" t="s">
        <v>84</v>
      </c>
      <c r="E334">
        <v>0</v>
      </c>
      <c r="F334">
        <v>1</v>
      </c>
      <c r="G334" t="s">
        <v>66</v>
      </c>
      <c r="H334">
        <v>0</v>
      </c>
      <c r="I334">
        <v>1</v>
      </c>
      <c r="J334" t="s">
        <v>66</v>
      </c>
      <c r="K334">
        <v>9</v>
      </c>
      <c r="L334">
        <v>17</v>
      </c>
      <c r="M334">
        <v>4</v>
      </c>
      <c r="N334">
        <v>5</v>
      </c>
      <c r="O334">
        <v>21</v>
      </c>
      <c r="P334">
        <v>27</v>
      </c>
      <c r="Q334">
        <v>5</v>
      </c>
      <c r="R334">
        <v>4</v>
      </c>
      <c r="S334">
        <v>4</v>
      </c>
      <c r="T334">
        <v>4</v>
      </c>
      <c r="U334">
        <v>0</v>
      </c>
      <c r="V334">
        <v>0</v>
      </c>
      <c r="W334">
        <v>2</v>
      </c>
      <c r="X334">
        <v>3.3</v>
      </c>
      <c r="Y334">
        <v>3.75</v>
      </c>
      <c r="Z334">
        <v>1.95</v>
      </c>
      <c r="AA334">
        <v>3.3</v>
      </c>
      <c r="AB334">
        <v>3.9</v>
      </c>
      <c r="AC334">
        <v>1.85</v>
      </c>
      <c r="AD334">
        <v>3.45</v>
      </c>
      <c r="AE334">
        <v>4</v>
      </c>
      <c r="AF334">
        <v>2</v>
      </c>
      <c r="AG334">
        <v>3.3</v>
      </c>
      <c r="AH334">
        <v>3.75</v>
      </c>
      <c r="AI334">
        <v>2.06</v>
      </c>
      <c r="AJ334">
        <v>3.43</v>
      </c>
      <c r="AK334">
        <v>4.12</v>
      </c>
      <c r="AL334">
        <v>2</v>
      </c>
      <c r="AM334">
        <v>3.3</v>
      </c>
      <c r="AN334">
        <v>3.75</v>
      </c>
      <c r="AO334">
        <v>2</v>
      </c>
      <c r="AP334">
        <v>3.25</v>
      </c>
      <c r="AQ334">
        <v>3.75</v>
      </c>
      <c r="AR334">
        <v>2.1</v>
      </c>
      <c r="AS334">
        <v>3.3</v>
      </c>
      <c r="AT334">
        <v>4.0999999999999996</v>
      </c>
      <c r="AU334">
        <v>45</v>
      </c>
      <c r="AV334">
        <v>2.14</v>
      </c>
      <c r="AW334">
        <v>2.0099999999999998</v>
      </c>
      <c r="AX334">
        <v>3.45</v>
      </c>
      <c r="AY334">
        <v>3.29</v>
      </c>
      <c r="AZ334">
        <v>4.28</v>
      </c>
      <c r="BA334">
        <v>3.86</v>
      </c>
      <c r="BB334">
        <v>38</v>
      </c>
      <c r="BC334">
        <v>2.25</v>
      </c>
      <c r="BD334">
        <v>2.17</v>
      </c>
      <c r="BE334">
        <v>1.76</v>
      </c>
      <c r="BF334">
        <v>1.66</v>
      </c>
      <c r="BG334">
        <v>23</v>
      </c>
      <c r="BH334">
        <v>-0.5</v>
      </c>
      <c r="BI334">
        <v>2.09</v>
      </c>
      <c r="BJ334">
        <v>2.04</v>
      </c>
      <c r="BK334">
        <v>1.88</v>
      </c>
      <c r="BL334">
        <v>1.82</v>
      </c>
      <c r="BM334">
        <v>2.0299999999999998</v>
      </c>
      <c r="BN334">
        <v>3.49</v>
      </c>
      <c r="BO334">
        <v>4.2</v>
      </c>
    </row>
    <row r="335" spans="1:67">
      <c r="A335" t="s">
        <v>63</v>
      </c>
      <c r="B335" s="77">
        <v>41748</v>
      </c>
      <c r="C335" t="s">
        <v>85</v>
      </c>
      <c r="D335" t="s">
        <v>78</v>
      </c>
      <c r="E335">
        <v>0</v>
      </c>
      <c r="F335">
        <v>1</v>
      </c>
      <c r="G335" t="s">
        <v>66</v>
      </c>
      <c r="H335">
        <v>0</v>
      </c>
      <c r="I335">
        <v>1</v>
      </c>
      <c r="J335" t="s">
        <v>66</v>
      </c>
      <c r="K335">
        <v>24</v>
      </c>
      <c r="L335">
        <v>11</v>
      </c>
      <c r="M335">
        <v>3</v>
      </c>
      <c r="N335">
        <v>4</v>
      </c>
      <c r="O335">
        <v>15</v>
      </c>
      <c r="P335">
        <v>18</v>
      </c>
      <c r="Q335">
        <v>5</v>
      </c>
      <c r="R335">
        <v>1</v>
      </c>
      <c r="S335">
        <v>3</v>
      </c>
      <c r="T335">
        <v>4</v>
      </c>
      <c r="U335">
        <v>0</v>
      </c>
      <c r="V335">
        <v>0</v>
      </c>
      <c r="W335">
        <v>3.1</v>
      </c>
      <c r="X335">
        <v>3.4</v>
      </c>
      <c r="Y335">
        <v>2.25</v>
      </c>
      <c r="Z335">
        <v>2.95</v>
      </c>
      <c r="AA335">
        <v>3.4</v>
      </c>
      <c r="AB335">
        <v>2.2999999999999998</v>
      </c>
      <c r="AC335">
        <v>3</v>
      </c>
      <c r="AD335">
        <v>3.2</v>
      </c>
      <c r="AE335">
        <v>2.2999999999999998</v>
      </c>
      <c r="AF335">
        <v>3.1</v>
      </c>
      <c r="AG335">
        <v>3.4</v>
      </c>
      <c r="AH335">
        <v>2.25</v>
      </c>
      <c r="AI335">
        <v>3.17</v>
      </c>
      <c r="AJ335">
        <v>3.43</v>
      </c>
      <c r="AK335">
        <v>2.42</v>
      </c>
      <c r="AL335">
        <v>3.1</v>
      </c>
      <c r="AM335">
        <v>3.3</v>
      </c>
      <c r="AN335">
        <v>2.2999999999999998</v>
      </c>
      <c r="AO335">
        <v>3</v>
      </c>
      <c r="AP335">
        <v>3.3</v>
      </c>
      <c r="AQ335">
        <v>2.25</v>
      </c>
      <c r="AR335">
        <v>3.2</v>
      </c>
      <c r="AS335">
        <v>3.4</v>
      </c>
      <c r="AT335">
        <v>2.4</v>
      </c>
      <c r="AU335">
        <v>45</v>
      </c>
      <c r="AV335">
        <v>3.3</v>
      </c>
      <c r="AW335">
        <v>3.09</v>
      </c>
      <c r="AX335">
        <v>3.5</v>
      </c>
      <c r="AY335">
        <v>3.34</v>
      </c>
      <c r="AZ335">
        <v>2.42</v>
      </c>
      <c r="BA335">
        <v>2.2999999999999998</v>
      </c>
      <c r="BB335">
        <v>45</v>
      </c>
      <c r="BC335">
        <v>1.97</v>
      </c>
      <c r="BD335">
        <v>1.9</v>
      </c>
      <c r="BE335">
        <v>1.97</v>
      </c>
      <c r="BF335">
        <v>1.88</v>
      </c>
      <c r="BG335">
        <v>23</v>
      </c>
      <c r="BH335">
        <v>0.25</v>
      </c>
      <c r="BI335">
        <v>1.9</v>
      </c>
      <c r="BJ335">
        <v>1.86</v>
      </c>
      <c r="BK335">
        <v>2.0699999999999998</v>
      </c>
      <c r="BL335">
        <v>2</v>
      </c>
      <c r="BM335">
        <v>2.74</v>
      </c>
      <c r="BN335">
        <v>3.36</v>
      </c>
      <c r="BO335">
        <v>2.79</v>
      </c>
    </row>
    <row r="336" spans="1:67">
      <c r="A336" t="s">
        <v>63</v>
      </c>
      <c r="B336" s="77">
        <v>41748</v>
      </c>
      <c r="C336" t="s">
        <v>74</v>
      </c>
      <c r="D336" t="s">
        <v>71</v>
      </c>
      <c r="E336">
        <v>1</v>
      </c>
      <c r="F336">
        <v>2</v>
      </c>
      <c r="G336" t="s">
        <v>66</v>
      </c>
      <c r="H336">
        <v>1</v>
      </c>
      <c r="I336">
        <v>1</v>
      </c>
      <c r="J336" t="s">
        <v>67</v>
      </c>
      <c r="K336">
        <v>12</v>
      </c>
      <c r="L336">
        <v>10</v>
      </c>
      <c r="M336">
        <v>3</v>
      </c>
      <c r="N336">
        <v>4</v>
      </c>
      <c r="O336">
        <v>10</v>
      </c>
      <c r="P336">
        <v>17</v>
      </c>
      <c r="Q336">
        <v>7</v>
      </c>
      <c r="R336">
        <v>3</v>
      </c>
      <c r="S336">
        <v>2</v>
      </c>
      <c r="T336">
        <v>4</v>
      </c>
      <c r="U336">
        <v>0</v>
      </c>
      <c r="V336">
        <v>0</v>
      </c>
      <c r="W336">
        <v>2.2000000000000002</v>
      </c>
      <c r="X336">
        <v>3.1</v>
      </c>
      <c r="Y336">
        <v>3.5</v>
      </c>
      <c r="Z336">
        <v>2.25</v>
      </c>
      <c r="AA336">
        <v>2.95</v>
      </c>
      <c r="AB336">
        <v>3.5</v>
      </c>
      <c r="AC336">
        <v>2.1</v>
      </c>
      <c r="AD336">
        <v>2.8</v>
      </c>
      <c r="AE336">
        <v>3.8</v>
      </c>
      <c r="AF336">
        <v>2.2000000000000002</v>
      </c>
      <c r="AG336">
        <v>3.1</v>
      </c>
      <c r="AH336">
        <v>3.5</v>
      </c>
      <c r="AI336">
        <v>2.36</v>
      </c>
      <c r="AJ336">
        <v>3.14</v>
      </c>
      <c r="AK336">
        <v>3.59</v>
      </c>
      <c r="AL336">
        <v>2.2000000000000002</v>
      </c>
      <c r="AM336">
        <v>3.1</v>
      </c>
      <c r="AN336">
        <v>3.5</v>
      </c>
      <c r="AO336">
        <v>2.2000000000000002</v>
      </c>
      <c r="AP336">
        <v>3</v>
      </c>
      <c r="AQ336">
        <v>3.4</v>
      </c>
      <c r="AR336">
        <v>2.2999999999999998</v>
      </c>
      <c r="AS336">
        <v>3.1</v>
      </c>
      <c r="AT336">
        <v>3.7</v>
      </c>
      <c r="AU336">
        <v>45</v>
      </c>
      <c r="AV336">
        <v>2.36</v>
      </c>
      <c r="AW336">
        <v>2.2599999999999998</v>
      </c>
      <c r="AX336">
        <v>3.25</v>
      </c>
      <c r="AY336">
        <v>3.06</v>
      </c>
      <c r="AZ336">
        <v>3.8</v>
      </c>
      <c r="BA336">
        <v>3.44</v>
      </c>
      <c r="BB336">
        <v>38</v>
      </c>
      <c r="BC336">
        <v>2.42</v>
      </c>
      <c r="BD336">
        <v>2.2999999999999998</v>
      </c>
      <c r="BE336">
        <v>1.72</v>
      </c>
      <c r="BF336">
        <v>1.59</v>
      </c>
      <c r="BG336">
        <v>23</v>
      </c>
      <c r="BH336">
        <v>-0.5</v>
      </c>
      <c r="BI336">
        <v>2.35</v>
      </c>
      <c r="BJ336">
        <v>2.27</v>
      </c>
      <c r="BK336">
        <v>1.71</v>
      </c>
      <c r="BL336">
        <v>1.66</v>
      </c>
      <c r="BM336">
        <v>2.16</v>
      </c>
      <c r="BN336">
        <v>3.33</v>
      </c>
      <c r="BO336">
        <v>3.89</v>
      </c>
    </row>
    <row r="337" spans="1:67">
      <c r="A337" t="s">
        <v>63</v>
      </c>
      <c r="B337" s="77">
        <v>41748</v>
      </c>
      <c r="C337" t="s">
        <v>65</v>
      </c>
      <c r="D337" t="s">
        <v>80</v>
      </c>
      <c r="E337">
        <v>1</v>
      </c>
      <c r="F337">
        <v>0</v>
      </c>
      <c r="G337" t="s">
        <v>70</v>
      </c>
      <c r="H337">
        <v>0</v>
      </c>
      <c r="I337">
        <v>0</v>
      </c>
      <c r="J337" t="s">
        <v>67</v>
      </c>
      <c r="K337">
        <v>17</v>
      </c>
      <c r="L337">
        <v>8</v>
      </c>
      <c r="M337">
        <v>7</v>
      </c>
      <c r="N337">
        <v>2</v>
      </c>
      <c r="O337">
        <v>15</v>
      </c>
      <c r="P337">
        <v>9</v>
      </c>
      <c r="Q337">
        <v>6</v>
      </c>
      <c r="R337">
        <v>1</v>
      </c>
      <c r="S337">
        <v>0</v>
      </c>
      <c r="T337">
        <v>2</v>
      </c>
      <c r="U337">
        <v>0</v>
      </c>
      <c r="V337">
        <v>0</v>
      </c>
      <c r="W337">
        <v>1.17</v>
      </c>
      <c r="X337">
        <v>7</v>
      </c>
      <c r="Y337">
        <v>15</v>
      </c>
      <c r="Z337">
        <v>1.1499999999999999</v>
      </c>
      <c r="AA337">
        <v>7</v>
      </c>
      <c r="AB337">
        <v>17</v>
      </c>
      <c r="AC337">
        <v>1.17</v>
      </c>
      <c r="AD337">
        <v>6.5</v>
      </c>
      <c r="AE337">
        <v>14</v>
      </c>
      <c r="AF337">
        <v>1.18</v>
      </c>
      <c r="AG337">
        <v>6.5</v>
      </c>
      <c r="AH337">
        <v>15</v>
      </c>
      <c r="AI337">
        <v>1.18</v>
      </c>
      <c r="AJ337">
        <v>7.7</v>
      </c>
      <c r="AK337">
        <v>23</v>
      </c>
      <c r="AL337">
        <v>1.17</v>
      </c>
      <c r="AM337">
        <v>7</v>
      </c>
      <c r="AN337">
        <v>15</v>
      </c>
      <c r="AO337">
        <v>1.17</v>
      </c>
      <c r="AP337">
        <v>6.5</v>
      </c>
      <c r="AQ337">
        <v>15</v>
      </c>
      <c r="AR337">
        <v>1.18</v>
      </c>
      <c r="AS337">
        <v>7</v>
      </c>
      <c r="AT337">
        <v>19</v>
      </c>
      <c r="AU337">
        <v>45</v>
      </c>
      <c r="AV337">
        <v>1.2</v>
      </c>
      <c r="AW337">
        <v>1.17</v>
      </c>
      <c r="AX337">
        <v>8.6999999999999993</v>
      </c>
      <c r="AY337">
        <v>6.99</v>
      </c>
      <c r="AZ337">
        <v>23</v>
      </c>
      <c r="BA337">
        <v>16.489999999999998</v>
      </c>
      <c r="BB337">
        <v>38</v>
      </c>
      <c r="BC337">
        <v>1.63</v>
      </c>
      <c r="BD337">
        <v>1.57</v>
      </c>
      <c r="BE337">
        <v>2.48</v>
      </c>
      <c r="BF337">
        <v>2.33</v>
      </c>
      <c r="BG337">
        <v>25</v>
      </c>
      <c r="BH337">
        <v>-2</v>
      </c>
      <c r="BI337">
        <v>2</v>
      </c>
      <c r="BJ337">
        <v>1.94</v>
      </c>
      <c r="BK337">
        <v>2.02</v>
      </c>
      <c r="BL337">
        <v>1.92</v>
      </c>
      <c r="BM337">
        <v>1.19</v>
      </c>
      <c r="BN337">
        <v>7.8</v>
      </c>
      <c r="BO337">
        <v>19.5</v>
      </c>
    </row>
    <row r="338" spans="1:67">
      <c r="A338" t="s">
        <v>63</v>
      </c>
      <c r="B338" s="77">
        <v>41748</v>
      </c>
      <c r="C338" t="s">
        <v>75</v>
      </c>
      <c r="D338" t="s">
        <v>83</v>
      </c>
      <c r="E338">
        <v>3</v>
      </c>
      <c r="F338">
        <v>3</v>
      </c>
      <c r="G338" t="s">
        <v>67</v>
      </c>
      <c r="H338">
        <v>1</v>
      </c>
      <c r="I338">
        <v>0</v>
      </c>
      <c r="J338" t="s">
        <v>70</v>
      </c>
      <c r="K338">
        <v>17</v>
      </c>
      <c r="L338">
        <v>18</v>
      </c>
      <c r="M338">
        <v>6</v>
      </c>
      <c r="N338">
        <v>8</v>
      </c>
      <c r="O338">
        <v>16</v>
      </c>
      <c r="P338">
        <v>10</v>
      </c>
      <c r="Q338">
        <v>4</v>
      </c>
      <c r="R338">
        <v>7</v>
      </c>
      <c r="S338">
        <v>2</v>
      </c>
      <c r="T338">
        <v>3</v>
      </c>
      <c r="U338">
        <v>1</v>
      </c>
      <c r="V338">
        <v>0</v>
      </c>
      <c r="W338">
        <v>1.8</v>
      </c>
      <c r="X338">
        <v>3.3</v>
      </c>
      <c r="Y338">
        <v>4.75</v>
      </c>
      <c r="Z338">
        <v>1.87</v>
      </c>
      <c r="AA338">
        <v>3.2</v>
      </c>
      <c r="AB338">
        <v>4.5</v>
      </c>
      <c r="AC338">
        <v>1.85</v>
      </c>
      <c r="AD338">
        <v>3.45</v>
      </c>
      <c r="AE338">
        <v>4</v>
      </c>
      <c r="AF338">
        <v>1.8</v>
      </c>
      <c r="AG338">
        <v>3.4</v>
      </c>
      <c r="AH338">
        <v>4.5</v>
      </c>
      <c r="AI338">
        <v>1.91</v>
      </c>
      <c r="AJ338">
        <v>3.55</v>
      </c>
      <c r="AK338">
        <v>4.6500000000000004</v>
      </c>
      <c r="AL338">
        <v>1.8</v>
      </c>
      <c r="AM338">
        <v>3.3</v>
      </c>
      <c r="AN338">
        <v>5</v>
      </c>
      <c r="AO338">
        <v>1.8</v>
      </c>
      <c r="AP338">
        <v>3.25</v>
      </c>
      <c r="AQ338">
        <v>4.5</v>
      </c>
      <c r="AR338">
        <v>1.91</v>
      </c>
      <c r="AS338">
        <v>3.4</v>
      </c>
      <c r="AT338">
        <v>4.8</v>
      </c>
      <c r="AU338">
        <v>45</v>
      </c>
      <c r="AV338">
        <v>1.92</v>
      </c>
      <c r="AW338">
        <v>1.85</v>
      </c>
      <c r="AX338">
        <v>3.55</v>
      </c>
      <c r="AY338">
        <v>3.37</v>
      </c>
      <c r="AZ338">
        <v>5</v>
      </c>
      <c r="BA338">
        <v>4.51</v>
      </c>
      <c r="BB338">
        <v>45</v>
      </c>
      <c r="BC338">
        <v>1.98</v>
      </c>
      <c r="BD338">
        <v>1.9</v>
      </c>
      <c r="BE338">
        <v>2</v>
      </c>
      <c r="BF338">
        <v>1.88</v>
      </c>
      <c r="BG338">
        <v>23</v>
      </c>
      <c r="BH338">
        <v>-0.5</v>
      </c>
      <c r="BI338">
        <v>1.92</v>
      </c>
      <c r="BJ338">
        <v>1.87</v>
      </c>
      <c r="BK338">
        <v>2.0299999999999998</v>
      </c>
      <c r="BL338">
        <v>1.99</v>
      </c>
      <c r="BM338">
        <v>2</v>
      </c>
      <c r="BN338">
        <v>3.35</v>
      </c>
      <c r="BO338">
        <v>4.4800000000000004</v>
      </c>
    </row>
    <row r="339" spans="1:67">
      <c r="A339" t="s">
        <v>63</v>
      </c>
      <c r="B339" s="77">
        <v>41748</v>
      </c>
      <c r="C339" t="s">
        <v>69</v>
      </c>
      <c r="D339" t="s">
        <v>77</v>
      </c>
      <c r="E339">
        <v>3</v>
      </c>
      <c r="F339">
        <v>0</v>
      </c>
      <c r="G339" t="s">
        <v>70</v>
      </c>
      <c r="H339">
        <v>1</v>
      </c>
      <c r="I339">
        <v>0</v>
      </c>
      <c r="J339" t="s">
        <v>70</v>
      </c>
      <c r="K339">
        <v>20</v>
      </c>
      <c r="L339">
        <v>13</v>
      </c>
      <c r="M339">
        <v>4</v>
      </c>
      <c r="N339">
        <v>1</v>
      </c>
      <c r="O339">
        <v>17</v>
      </c>
      <c r="P339">
        <v>13</v>
      </c>
      <c r="Q339">
        <v>8</v>
      </c>
      <c r="R339">
        <v>6</v>
      </c>
      <c r="S339">
        <v>3</v>
      </c>
      <c r="T339">
        <v>2</v>
      </c>
      <c r="U339">
        <v>0</v>
      </c>
      <c r="V339">
        <v>0</v>
      </c>
      <c r="W339">
        <v>1.25</v>
      </c>
      <c r="X339">
        <v>5.5</v>
      </c>
      <c r="Y339">
        <v>12</v>
      </c>
      <c r="Z339">
        <v>1.3</v>
      </c>
      <c r="AA339">
        <v>5</v>
      </c>
      <c r="AB339">
        <v>10</v>
      </c>
      <c r="AC339">
        <v>1.22</v>
      </c>
      <c r="AD339">
        <v>5.5</v>
      </c>
      <c r="AE339">
        <v>12</v>
      </c>
      <c r="AF339">
        <v>1.33</v>
      </c>
      <c r="AG339">
        <v>5</v>
      </c>
      <c r="AH339">
        <v>9</v>
      </c>
      <c r="AI339">
        <v>1.3</v>
      </c>
      <c r="AJ339">
        <v>5.82</v>
      </c>
      <c r="AK339">
        <v>12.47</v>
      </c>
      <c r="AL339">
        <v>1.3</v>
      </c>
      <c r="AM339">
        <v>5</v>
      </c>
      <c r="AN339">
        <v>10</v>
      </c>
      <c r="AO339">
        <v>1.29</v>
      </c>
      <c r="AP339">
        <v>4.8</v>
      </c>
      <c r="AQ339">
        <v>11</v>
      </c>
      <c r="AR339">
        <v>1.29</v>
      </c>
      <c r="AS339">
        <v>5.75</v>
      </c>
      <c r="AT339">
        <v>13</v>
      </c>
      <c r="AU339">
        <v>45</v>
      </c>
      <c r="AV339">
        <v>1.33</v>
      </c>
      <c r="AW339">
        <v>1.28</v>
      </c>
      <c r="AX339">
        <v>5.96</v>
      </c>
      <c r="AY339">
        <v>5.29</v>
      </c>
      <c r="AZ339">
        <v>13.11</v>
      </c>
      <c r="BA339">
        <v>11.2</v>
      </c>
      <c r="BB339">
        <v>40</v>
      </c>
      <c r="BC339">
        <v>1.7</v>
      </c>
      <c r="BD339">
        <v>1.6</v>
      </c>
      <c r="BE339">
        <v>2.46</v>
      </c>
      <c r="BF339">
        <v>2.2799999999999998</v>
      </c>
      <c r="BG339">
        <v>25</v>
      </c>
      <c r="BH339">
        <v>-1.5</v>
      </c>
      <c r="BI339">
        <v>1.89</v>
      </c>
      <c r="BJ339">
        <v>1.81</v>
      </c>
      <c r="BK339">
        <v>2.12</v>
      </c>
      <c r="BL339">
        <v>2.04</v>
      </c>
      <c r="BM339">
        <v>1.29</v>
      </c>
      <c r="BN339">
        <v>6.19</v>
      </c>
      <c r="BO339">
        <v>12.01</v>
      </c>
    </row>
    <row r="340" spans="1:67">
      <c r="A340" t="s">
        <v>63</v>
      </c>
      <c r="B340" s="77">
        <v>41748</v>
      </c>
      <c r="C340" t="s">
        <v>81</v>
      </c>
      <c r="D340" t="s">
        <v>73</v>
      </c>
      <c r="E340">
        <v>0</v>
      </c>
      <c r="F340">
        <v>2</v>
      </c>
      <c r="G340" t="s">
        <v>66</v>
      </c>
      <c r="H340">
        <v>0</v>
      </c>
      <c r="I340">
        <v>0</v>
      </c>
      <c r="J340" t="s">
        <v>67</v>
      </c>
      <c r="K340">
        <v>12</v>
      </c>
      <c r="L340">
        <v>15</v>
      </c>
      <c r="M340">
        <v>3</v>
      </c>
      <c r="N340">
        <v>6</v>
      </c>
      <c r="O340">
        <v>14</v>
      </c>
      <c r="P340">
        <v>15</v>
      </c>
      <c r="Q340">
        <v>6</v>
      </c>
      <c r="R340">
        <v>5</v>
      </c>
      <c r="S340">
        <v>1</v>
      </c>
      <c r="T340">
        <v>3</v>
      </c>
      <c r="U340">
        <v>1</v>
      </c>
      <c r="V340">
        <v>0</v>
      </c>
      <c r="W340">
        <v>2.4</v>
      </c>
      <c r="X340">
        <v>3.3</v>
      </c>
      <c r="Y340">
        <v>2.88</v>
      </c>
      <c r="Z340">
        <v>2.5499999999999998</v>
      </c>
      <c r="AA340">
        <v>3.4</v>
      </c>
      <c r="AB340">
        <v>2.6</v>
      </c>
      <c r="AC340">
        <v>2.5</v>
      </c>
      <c r="AD340">
        <v>3.2</v>
      </c>
      <c r="AE340">
        <v>2.75</v>
      </c>
      <c r="AF340">
        <v>2.5</v>
      </c>
      <c r="AG340">
        <v>3.3</v>
      </c>
      <c r="AH340">
        <v>2.75</v>
      </c>
      <c r="AI340">
        <v>2.57</v>
      </c>
      <c r="AJ340">
        <v>3.46</v>
      </c>
      <c r="AK340">
        <v>2.93</v>
      </c>
      <c r="AL340">
        <v>2.5</v>
      </c>
      <c r="AM340">
        <v>3.3</v>
      </c>
      <c r="AN340">
        <v>2.75</v>
      </c>
      <c r="AO340">
        <v>2.5</v>
      </c>
      <c r="AP340">
        <v>3.3</v>
      </c>
      <c r="AQ340">
        <v>2.75</v>
      </c>
      <c r="AR340">
        <v>2.62</v>
      </c>
      <c r="AS340">
        <v>3.4</v>
      </c>
      <c r="AT340">
        <v>2.9</v>
      </c>
      <c r="AU340">
        <v>45</v>
      </c>
      <c r="AV340">
        <v>2.7</v>
      </c>
      <c r="AW340">
        <v>2.5099999999999998</v>
      </c>
      <c r="AX340">
        <v>3.5</v>
      </c>
      <c r="AY340">
        <v>3.31</v>
      </c>
      <c r="AZ340">
        <v>2.93</v>
      </c>
      <c r="BA340">
        <v>2.78</v>
      </c>
      <c r="BB340">
        <v>45</v>
      </c>
      <c r="BC340">
        <v>1.94</v>
      </c>
      <c r="BD340">
        <v>1.82</v>
      </c>
      <c r="BE340">
        <v>2.06</v>
      </c>
      <c r="BF340">
        <v>1.97</v>
      </c>
      <c r="BG340">
        <v>23</v>
      </c>
      <c r="BH340">
        <v>0</v>
      </c>
      <c r="BI340">
        <v>1.87</v>
      </c>
      <c r="BJ340">
        <v>1.83</v>
      </c>
      <c r="BK340">
        <v>2.1</v>
      </c>
      <c r="BL340">
        <v>2.0299999999999998</v>
      </c>
      <c r="BM340">
        <v>2.38</v>
      </c>
      <c r="BN340">
        <v>3.55</v>
      </c>
      <c r="BO340">
        <v>3.14</v>
      </c>
    </row>
    <row r="341" spans="1:67">
      <c r="A341" t="s">
        <v>63</v>
      </c>
      <c r="B341" s="77">
        <v>41748</v>
      </c>
      <c r="C341" t="s">
        <v>76</v>
      </c>
      <c r="D341" t="s">
        <v>79</v>
      </c>
      <c r="E341">
        <v>1</v>
      </c>
      <c r="F341">
        <v>1</v>
      </c>
      <c r="G341" t="s">
        <v>67</v>
      </c>
      <c r="H341">
        <v>0</v>
      </c>
      <c r="I341">
        <v>1</v>
      </c>
      <c r="J341" t="s">
        <v>66</v>
      </c>
      <c r="K341">
        <v>11</v>
      </c>
      <c r="L341">
        <v>11</v>
      </c>
      <c r="M341">
        <v>4</v>
      </c>
      <c r="N341">
        <v>3</v>
      </c>
      <c r="O341">
        <v>12</v>
      </c>
      <c r="P341">
        <v>14</v>
      </c>
      <c r="Q341">
        <v>3</v>
      </c>
      <c r="R341">
        <v>0</v>
      </c>
      <c r="S341">
        <v>2</v>
      </c>
      <c r="T341">
        <v>2</v>
      </c>
      <c r="U341">
        <v>0</v>
      </c>
      <c r="V341">
        <v>1</v>
      </c>
      <c r="W341">
        <v>3.5</v>
      </c>
      <c r="X341">
        <v>3.5</v>
      </c>
      <c r="Y341">
        <v>2.0499999999999998</v>
      </c>
      <c r="Z341">
        <v>3.6</v>
      </c>
      <c r="AA341">
        <v>3.3</v>
      </c>
      <c r="AB341">
        <v>2.0499999999999998</v>
      </c>
      <c r="AC341">
        <v>4</v>
      </c>
      <c r="AD341">
        <v>3.3</v>
      </c>
      <c r="AE341">
        <v>1.9</v>
      </c>
      <c r="AF341">
        <v>3.75</v>
      </c>
      <c r="AG341">
        <v>3.4</v>
      </c>
      <c r="AH341">
        <v>2</v>
      </c>
      <c r="AI341">
        <v>3.56</v>
      </c>
      <c r="AJ341">
        <v>3.44</v>
      </c>
      <c r="AK341">
        <v>2.23</v>
      </c>
      <c r="AL341">
        <v>3.75</v>
      </c>
      <c r="AM341">
        <v>3.3</v>
      </c>
      <c r="AN341">
        <v>2</v>
      </c>
      <c r="AO341">
        <v>3.3</v>
      </c>
      <c r="AP341">
        <v>3.4</v>
      </c>
      <c r="AQ341">
        <v>2.1</v>
      </c>
      <c r="AR341">
        <v>3.75</v>
      </c>
      <c r="AS341">
        <v>3.4</v>
      </c>
      <c r="AT341">
        <v>2.15</v>
      </c>
      <c r="AU341">
        <v>45</v>
      </c>
      <c r="AV341">
        <v>4</v>
      </c>
      <c r="AW341">
        <v>3.51</v>
      </c>
      <c r="AX341">
        <v>3.52</v>
      </c>
      <c r="AY341">
        <v>3.35</v>
      </c>
      <c r="AZ341">
        <v>2.21</v>
      </c>
      <c r="BA341">
        <v>2.1</v>
      </c>
      <c r="BB341">
        <v>45</v>
      </c>
      <c r="BC341">
        <v>2.0499999999999998</v>
      </c>
      <c r="BD341">
        <v>1.97</v>
      </c>
      <c r="BE341">
        <v>1.92</v>
      </c>
      <c r="BF341">
        <v>1.82</v>
      </c>
      <c r="BG341">
        <v>23</v>
      </c>
      <c r="BH341">
        <v>0.5</v>
      </c>
      <c r="BI341">
        <v>1.8</v>
      </c>
      <c r="BJ341">
        <v>1.74</v>
      </c>
      <c r="BK341">
        <v>2.21</v>
      </c>
      <c r="BL341">
        <v>2.14</v>
      </c>
      <c r="BM341">
        <v>3.26</v>
      </c>
      <c r="BN341">
        <v>3.47</v>
      </c>
      <c r="BO341">
        <v>2.34</v>
      </c>
    </row>
    <row r="342" spans="1:67">
      <c r="A342" t="s">
        <v>63</v>
      </c>
      <c r="B342" s="77">
        <v>41754</v>
      </c>
      <c r="C342" t="s">
        <v>78</v>
      </c>
      <c r="D342" t="s">
        <v>69</v>
      </c>
      <c r="E342">
        <v>2</v>
      </c>
      <c r="F342">
        <v>0</v>
      </c>
      <c r="G342" t="s">
        <v>70</v>
      </c>
      <c r="H342">
        <v>1</v>
      </c>
      <c r="I342">
        <v>0</v>
      </c>
      <c r="J342" t="s">
        <v>70</v>
      </c>
      <c r="K342">
        <v>14</v>
      </c>
      <c r="L342">
        <v>13</v>
      </c>
      <c r="M342">
        <v>4</v>
      </c>
      <c r="N342">
        <v>5</v>
      </c>
      <c r="O342">
        <v>13</v>
      </c>
      <c r="P342">
        <v>18</v>
      </c>
      <c r="Q342">
        <v>8</v>
      </c>
      <c r="R342">
        <v>6</v>
      </c>
      <c r="S342">
        <v>3</v>
      </c>
      <c r="T342">
        <v>3</v>
      </c>
      <c r="U342">
        <v>0</v>
      </c>
      <c r="V342">
        <v>0</v>
      </c>
      <c r="W342">
        <v>1.8</v>
      </c>
      <c r="X342">
        <v>3.75</v>
      </c>
      <c r="Y342">
        <v>4.2</v>
      </c>
      <c r="Z342">
        <v>1.75</v>
      </c>
      <c r="AA342">
        <v>3.65</v>
      </c>
      <c r="AB342">
        <v>4.5</v>
      </c>
      <c r="AC342">
        <v>1.9</v>
      </c>
      <c r="AD342">
        <v>3.45</v>
      </c>
      <c r="AE342">
        <v>3.8</v>
      </c>
      <c r="AF342">
        <v>1.8</v>
      </c>
      <c r="AG342">
        <v>3.6</v>
      </c>
      <c r="AH342">
        <v>4.5</v>
      </c>
      <c r="AI342">
        <v>1.83</v>
      </c>
      <c r="AJ342">
        <v>3.8</v>
      </c>
      <c r="AK342">
        <v>4.76</v>
      </c>
      <c r="AL342">
        <v>1.8</v>
      </c>
      <c r="AM342">
        <v>3.5</v>
      </c>
      <c r="AN342">
        <v>4.5</v>
      </c>
      <c r="AO342">
        <v>1.8</v>
      </c>
      <c r="AP342">
        <v>3.5</v>
      </c>
      <c r="AQ342">
        <v>4.33</v>
      </c>
      <c r="AR342">
        <v>1.85</v>
      </c>
      <c r="AS342">
        <v>3.75</v>
      </c>
      <c r="AT342">
        <v>4.5999999999999996</v>
      </c>
      <c r="AU342">
        <v>47</v>
      </c>
      <c r="AV342">
        <v>1.9</v>
      </c>
      <c r="AW342">
        <v>1.8</v>
      </c>
      <c r="AX342">
        <v>3.9</v>
      </c>
      <c r="AY342">
        <v>3.63</v>
      </c>
      <c r="AZ342">
        <v>4.8</v>
      </c>
      <c r="BA342">
        <v>4.47</v>
      </c>
      <c r="BB342">
        <v>43</v>
      </c>
      <c r="BC342">
        <v>1.75</v>
      </c>
      <c r="BD342">
        <v>1.69</v>
      </c>
      <c r="BE342">
        <v>2.34</v>
      </c>
      <c r="BF342">
        <v>2.14</v>
      </c>
      <c r="BG342">
        <v>22</v>
      </c>
      <c r="BH342">
        <v>-0.75</v>
      </c>
      <c r="BI342">
        <v>2.11</v>
      </c>
      <c r="BJ342">
        <v>2.0499999999999998</v>
      </c>
      <c r="BK342">
        <v>1.86</v>
      </c>
      <c r="BL342">
        <v>1.83</v>
      </c>
      <c r="BM342">
        <v>1.83</v>
      </c>
      <c r="BN342">
        <v>3.76</v>
      </c>
      <c r="BO342">
        <v>4.83</v>
      </c>
    </row>
    <row r="343" spans="1:67">
      <c r="A343" t="s">
        <v>63</v>
      </c>
      <c r="B343" s="77">
        <v>41755</v>
      </c>
      <c r="C343" t="s">
        <v>80</v>
      </c>
      <c r="D343" t="s">
        <v>85</v>
      </c>
      <c r="E343">
        <v>0</v>
      </c>
      <c r="F343">
        <v>3</v>
      </c>
      <c r="G343" t="s">
        <v>66</v>
      </c>
      <c r="H343">
        <v>0</v>
      </c>
      <c r="I343">
        <v>2</v>
      </c>
      <c r="J343" t="s">
        <v>66</v>
      </c>
      <c r="K343">
        <v>16</v>
      </c>
      <c r="L343">
        <v>14</v>
      </c>
      <c r="M343">
        <v>6</v>
      </c>
      <c r="N343">
        <v>8</v>
      </c>
      <c r="O343">
        <v>14</v>
      </c>
      <c r="P343">
        <v>10</v>
      </c>
      <c r="Q343">
        <v>5</v>
      </c>
      <c r="R343">
        <v>7</v>
      </c>
      <c r="S343">
        <v>1</v>
      </c>
      <c r="T343">
        <v>1</v>
      </c>
      <c r="U343">
        <v>0</v>
      </c>
      <c r="V343">
        <v>0</v>
      </c>
      <c r="W343">
        <v>3.4</v>
      </c>
      <c r="X343">
        <v>3.4</v>
      </c>
      <c r="Y343">
        <v>2.1</v>
      </c>
      <c r="Z343">
        <v>3.3</v>
      </c>
      <c r="AA343">
        <v>3.2</v>
      </c>
      <c r="AB343">
        <v>2.2000000000000002</v>
      </c>
      <c r="AC343">
        <v>3.2</v>
      </c>
      <c r="AD343">
        <v>3.2</v>
      </c>
      <c r="AE343">
        <v>2.2000000000000002</v>
      </c>
      <c r="AF343">
        <v>3.3</v>
      </c>
      <c r="AG343">
        <v>3.25</v>
      </c>
      <c r="AH343">
        <v>2.2000000000000002</v>
      </c>
      <c r="AI343">
        <v>3.86</v>
      </c>
      <c r="AJ343">
        <v>3.33</v>
      </c>
      <c r="AK343">
        <v>2.17</v>
      </c>
      <c r="AL343">
        <v>3.5</v>
      </c>
      <c r="AM343">
        <v>3</v>
      </c>
      <c r="AN343">
        <v>2.25</v>
      </c>
      <c r="AO343">
        <v>3.3</v>
      </c>
      <c r="AP343">
        <v>3.2</v>
      </c>
      <c r="AQ343">
        <v>2.1</v>
      </c>
      <c r="AR343">
        <v>3.75</v>
      </c>
      <c r="AS343">
        <v>3.25</v>
      </c>
      <c r="AT343">
        <v>2.2000000000000002</v>
      </c>
      <c r="AU343">
        <v>47</v>
      </c>
      <c r="AV343">
        <v>3.75</v>
      </c>
      <c r="AW343">
        <v>3.46</v>
      </c>
      <c r="AX343">
        <v>3.42</v>
      </c>
      <c r="AY343">
        <v>3.2</v>
      </c>
      <c r="AZ343">
        <v>2.2799999999999998</v>
      </c>
      <c r="BA343">
        <v>2.17</v>
      </c>
      <c r="BB343">
        <v>43</v>
      </c>
      <c r="BC343">
        <v>2.31</v>
      </c>
      <c r="BD343">
        <v>2.19</v>
      </c>
      <c r="BE343">
        <v>1.75</v>
      </c>
      <c r="BF343">
        <v>1.65</v>
      </c>
      <c r="BG343">
        <v>22</v>
      </c>
      <c r="BH343">
        <v>0.5</v>
      </c>
      <c r="BI343">
        <v>1.77</v>
      </c>
      <c r="BJ343">
        <v>1.72</v>
      </c>
      <c r="BK343">
        <v>2.2200000000000002</v>
      </c>
      <c r="BL343">
        <v>2.15</v>
      </c>
      <c r="BM343">
        <v>3.45</v>
      </c>
      <c r="BN343">
        <v>3.35</v>
      </c>
      <c r="BO343">
        <v>2.31</v>
      </c>
    </row>
    <row r="344" spans="1:67">
      <c r="A344" t="s">
        <v>63</v>
      </c>
      <c r="B344" s="77">
        <v>41755</v>
      </c>
      <c r="C344" t="s">
        <v>73</v>
      </c>
      <c r="D344" t="s">
        <v>79</v>
      </c>
      <c r="E344">
        <v>0</v>
      </c>
      <c r="F344">
        <v>0</v>
      </c>
      <c r="G344" t="s">
        <v>67</v>
      </c>
      <c r="H344">
        <v>0</v>
      </c>
      <c r="I344">
        <v>0</v>
      </c>
      <c r="J344" t="s">
        <v>67</v>
      </c>
      <c r="K344">
        <v>14</v>
      </c>
      <c r="L344">
        <v>14</v>
      </c>
      <c r="M344">
        <v>6</v>
      </c>
      <c r="N344">
        <v>1</v>
      </c>
      <c r="O344">
        <v>7</v>
      </c>
      <c r="P344">
        <v>10</v>
      </c>
      <c r="Q344">
        <v>2</v>
      </c>
      <c r="R344">
        <v>4</v>
      </c>
      <c r="S344">
        <v>1</v>
      </c>
      <c r="T344">
        <v>3</v>
      </c>
      <c r="U344">
        <v>0</v>
      </c>
      <c r="V344">
        <v>0</v>
      </c>
      <c r="W344">
        <v>2.25</v>
      </c>
      <c r="X344">
        <v>3.4</v>
      </c>
      <c r="Y344">
        <v>3.1</v>
      </c>
      <c r="Z344">
        <v>2.2000000000000002</v>
      </c>
      <c r="AA344">
        <v>3.4</v>
      </c>
      <c r="AB344">
        <v>3.1</v>
      </c>
      <c r="AC344">
        <v>2.2000000000000002</v>
      </c>
      <c r="AD344">
        <v>3.3</v>
      </c>
      <c r="AE344">
        <v>3.1</v>
      </c>
      <c r="AF344">
        <v>2.2000000000000002</v>
      </c>
      <c r="AG344">
        <v>3.4</v>
      </c>
      <c r="AH344">
        <v>3.2</v>
      </c>
      <c r="AI344">
        <v>2.2799999999999998</v>
      </c>
      <c r="AJ344">
        <v>3.54</v>
      </c>
      <c r="AK344">
        <v>3.35</v>
      </c>
      <c r="AL344">
        <v>2.2999999999999998</v>
      </c>
      <c r="AM344">
        <v>3.2</v>
      </c>
      <c r="AN344">
        <v>3.2</v>
      </c>
      <c r="AO344">
        <v>2.2000000000000002</v>
      </c>
      <c r="AP344">
        <v>3.3</v>
      </c>
      <c r="AQ344">
        <v>3.13</v>
      </c>
      <c r="AR344">
        <v>2.2999999999999998</v>
      </c>
      <c r="AS344">
        <v>3.4</v>
      </c>
      <c r="AT344">
        <v>3.4</v>
      </c>
      <c r="AU344">
        <v>47</v>
      </c>
      <c r="AV344">
        <v>2.2999999999999998</v>
      </c>
      <c r="AW344">
        <v>2.2400000000000002</v>
      </c>
      <c r="AX344">
        <v>3.56</v>
      </c>
      <c r="AY344">
        <v>3.35</v>
      </c>
      <c r="AZ344">
        <v>3.4</v>
      </c>
      <c r="BA344">
        <v>3.18</v>
      </c>
      <c r="BB344">
        <v>43</v>
      </c>
      <c r="BC344">
        <v>1.75</v>
      </c>
      <c r="BD344">
        <v>1.69</v>
      </c>
      <c r="BE344">
        <v>2.2999999999999998</v>
      </c>
      <c r="BF344">
        <v>2.12</v>
      </c>
      <c r="BG344">
        <v>22</v>
      </c>
      <c r="BH344">
        <v>-0.25</v>
      </c>
      <c r="BI344">
        <v>1.99</v>
      </c>
      <c r="BJ344">
        <v>1.94</v>
      </c>
      <c r="BK344">
        <v>1.97</v>
      </c>
      <c r="BL344">
        <v>1.92</v>
      </c>
      <c r="BM344">
        <v>2.29</v>
      </c>
      <c r="BN344">
        <v>3.6</v>
      </c>
      <c r="BO344">
        <v>3.26</v>
      </c>
    </row>
    <row r="345" spans="1:67">
      <c r="A345" t="s">
        <v>63</v>
      </c>
      <c r="B345" s="77">
        <v>41756</v>
      </c>
      <c r="C345" t="s">
        <v>72</v>
      </c>
      <c r="D345" t="s">
        <v>74</v>
      </c>
      <c r="E345">
        <v>1</v>
      </c>
      <c r="F345">
        <v>1</v>
      </c>
      <c r="G345" t="s">
        <v>67</v>
      </c>
      <c r="H345">
        <v>0</v>
      </c>
      <c r="I345">
        <v>1</v>
      </c>
      <c r="J345" t="s">
        <v>66</v>
      </c>
      <c r="K345">
        <v>24</v>
      </c>
      <c r="L345">
        <v>3</v>
      </c>
      <c r="M345">
        <v>6</v>
      </c>
      <c r="N345">
        <v>2</v>
      </c>
      <c r="O345">
        <v>15</v>
      </c>
      <c r="P345">
        <v>14</v>
      </c>
      <c r="Q345">
        <v>8</v>
      </c>
      <c r="R345">
        <v>2</v>
      </c>
      <c r="S345">
        <v>2</v>
      </c>
      <c r="T345">
        <v>4</v>
      </c>
      <c r="U345">
        <v>0</v>
      </c>
      <c r="V345">
        <v>1</v>
      </c>
      <c r="W345">
        <v>2.2000000000000002</v>
      </c>
      <c r="X345">
        <v>3.25</v>
      </c>
      <c r="Y345">
        <v>3.3</v>
      </c>
      <c r="Z345">
        <v>2.15</v>
      </c>
      <c r="AA345">
        <v>3.1</v>
      </c>
      <c r="AB345">
        <v>3.5</v>
      </c>
      <c r="AC345">
        <v>2.2000000000000002</v>
      </c>
      <c r="AD345">
        <v>3.1</v>
      </c>
      <c r="AE345">
        <v>3.3</v>
      </c>
      <c r="AF345">
        <v>2.1</v>
      </c>
      <c r="AG345">
        <v>3.4</v>
      </c>
      <c r="AH345">
        <v>3.4</v>
      </c>
      <c r="AI345">
        <v>2.2200000000000002</v>
      </c>
      <c r="AJ345">
        <v>3.33</v>
      </c>
      <c r="AK345">
        <v>3.71</v>
      </c>
      <c r="AL345">
        <v>2.2000000000000002</v>
      </c>
      <c r="AM345">
        <v>3.1</v>
      </c>
      <c r="AN345">
        <v>3.5</v>
      </c>
      <c r="AO345">
        <v>2.1</v>
      </c>
      <c r="AP345">
        <v>3.2</v>
      </c>
      <c r="AQ345">
        <v>3.3</v>
      </c>
      <c r="AR345">
        <v>2.2000000000000002</v>
      </c>
      <c r="AS345">
        <v>3.3</v>
      </c>
      <c r="AT345">
        <v>3.7</v>
      </c>
      <c r="AU345">
        <v>47</v>
      </c>
      <c r="AV345">
        <v>2.25</v>
      </c>
      <c r="AW345">
        <v>2.1800000000000002</v>
      </c>
      <c r="AX345">
        <v>3.4</v>
      </c>
      <c r="AY345">
        <v>3.23</v>
      </c>
      <c r="AZ345">
        <v>3.75</v>
      </c>
      <c r="BA345">
        <v>3.4</v>
      </c>
      <c r="BB345">
        <v>44</v>
      </c>
      <c r="BC345">
        <v>2.08</v>
      </c>
      <c r="BD345">
        <v>1.98</v>
      </c>
      <c r="BE345">
        <v>1.89</v>
      </c>
      <c r="BF345">
        <v>1.8</v>
      </c>
      <c r="BG345">
        <v>22</v>
      </c>
      <c r="BH345">
        <v>-0.5</v>
      </c>
      <c r="BI345">
        <v>2.25</v>
      </c>
      <c r="BJ345">
        <v>2.17</v>
      </c>
      <c r="BK345">
        <v>1.76</v>
      </c>
      <c r="BL345">
        <v>1.7</v>
      </c>
      <c r="BM345">
        <v>2.2400000000000002</v>
      </c>
      <c r="BN345">
        <v>3.26</v>
      </c>
      <c r="BO345">
        <v>3.74</v>
      </c>
    </row>
    <row r="346" spans="1:67">
      <c r="A346" t="s">
        <v>63</v>
      </c>
      <c r="B346" s="77">
        <v>41756</v>
      </c>
      <c r="C346" t="s">
        <v>71</v>
      </c>
      <c r="D346" t="s">
        <v>81</v>
      </c>
      <c r="E346">
        <v>1</v>
      </c>
      <c r="F346">
        <v>0</v>
      </c>
      <c r="G346" t="s">
        <v>70</v>
      </c>
      <c r="H346">
        <v>1</v>
      </c>
      <c r="I346">
        <v>0</v>
      </c>
      <c r="J346" t="s">
        <v>70</v>
      </c>
      <c r="K346">
        <v>8</v>
      </c>
      <c r="L346">
        <v>20</v>
      </c>
      <c r="M346">
        <v>3</v>
      </c>
      <c r="N346">
        <v>4</v>
      </c>
      <c r="O346">
        <v>8</v>
      </c>
      <c r="P346">
        <v>16</v>
      </c>
      <c r="Q346">
        <v>5</v>
      </c>
      <c r="R346">
        <v>9</v>
      </c>
      <c r="S346">
        <v>1</v>
      </c>
      <c r="T346">
        <v>1</v>
      </c>
      <c r="U346">
        <v>0</v>
      </c>
      <c r="V346">
        <v>1</v>
      </c>
      <c r="W346">
        <v>3</v>
      </c>
      <c r="X346">
        <v>3.25</v>
      </c>
      <c r="Y346">
        <v>2.38</v>
      </c>
      <c r="Z346">
        <v>3</v>
      </c>
      <c r="AA346">
        <v>3.2</v>
      </c>
      <c r="AB346">
        <v>2.35</v>
      </c>
      <c r="AC346">
        <v>2.9</v>
      </c>
      <c r="AD346">
        <v>3.3</v>
      </c>
      <c r="AE346">
        <v>2.2999999999999998</v>
      </c>
      <c r="AF346">
        <v>3.1</v>
      </c>
      <c r="AG346">
        <v>3.25</v>
      </c>
      <c r="AH346">
        <v>2.2999999999999998</v>
      </c>
      <c r="AI346">
        <v>3.26</v>
      </c>
      <c r="AJ346">
        <v>3.39</v>
      </c>
      <c r="AK346">
        <v>2.39</v>
      </c>
      <c r="AL346">
        <v>3.2</v>
      </c>
      <c r="AM346">
        <v>3.2</v>
      </c>
      <c r="AN346">
        <v>2.2999999999999998</v>
      </c>
      <c r="AO346">
        <v>3.13</v>
      </c>
      <c r="AP346">
        <v>3.13</v>
      </c>
      <c r="AQ346">
        <v>2.2999999999999998</v>
      </c>
      <c r="AR346">
        <v>3.3</v>
      </c>
      <c r="AS346">
        <v>3.25</v>
      </c>
      <c r="AT346">
        <v>2.4</v>
      </c>
      <c r="AU346">
        <v>47</v>
      </c>
      <c r="AV346">
        <v>3.45</v>
      </c>
      <c r="AW346">
        <v>3.12</v>
      </c>
      <c r="AX346">
        <v>3.4</v>
      </c>
      <c r="AY346">
        <v>3.22</v>
      </c>
      <c r="AZ346">
        <v>2.4</v>
      </c>
      <c r="BA346">
        <v>2.33</v>
      </c>
      <c r="BB346">
        <v>43</v>
      </c>
      <c r="BC346">
        <v>2.1800000000000002</v>
      </c>
      <c r="BD346">
        <v>2.09</v>
      </c>
      <c r="BE346">
        <v>1.8</v>
      </c>
      <c r="BF346">
        <v>1.72</v>
      </c>
      <c r="BG346">
        <v>22</v>
      </c>
      <c r="BH346">
        <v>0</v>
      </c>
      <c r="BI346">
        <v>2.37</v>
      </c>
      <c r="BJ346">
        <v>2.25</v>
      </c>
      <c r="BK346">
        <v>1.71</v>
      </c>
      <c r="BL346">
        <v>1.65</v>
      </c>
      <c r="BM346">
        <v>3.36</v>
      </c>
      <c r="BN346">
        <v>3.53</v>
      </c>
      <c r="BO346">
        <v>2.2799999999999998</v>
      </c>
    </row>
    <row r="347" spans="1:67">
      <c r="A347" t="s">
        <v>63</v>
      </c>
      <c r="B347" s="77">
        <v>41756</v>
      </c>
      <c r="C347" t="s">
        <v>77</v>
      </c>
      <c r="D347" t="s">
        <v>75</v>
      </c>
      <c r="E347">
        <v>0</v>
      </c>
      <c r="F347">
        <v>2</v>
      </c>
      <c r="G347" t="s">
        <v>66</v>
      </c>
      <c r="H347">
        <v>0</v>
      </c>
      <c r="I347">
        <v>1</v>
      </c>
      <c r="J347" t="s">
        <v>66</v>
      </c>
      <c r="K347">
        <v>17</v>
      </c>
      <c r="L347">
        <v>19</v>
      </c>
      <c r="M347">
        <v>4</v>
      </c>
      <c r="N347">
        <v>11</v>
      </c>
      <c r="O347">
        <v>16</v>
      </c>
      <c r="P347">
        <v>12</v>
      </c>
      <c r="Q347">
        <v>14</v>
      </c>
      <c r="R347">
        <v>7</v>
      </c>
      <c r="S347">
        <v>4</v>
      </c>
      <c r="T347">
        <v>1</v>
      </c>
      <c r="U347">
        <v>0</v>
      </c>
      <c r="V347">
        <v>0</v>
      </c>
      <c r="W347">
        <v>3.1</v>
      </c>
      <c r="X347">
        <v>3.4</v>
      </c>
      <c r="Y347">
        <v>2.25</v>
      </c>
      <c r="Z347">
        <v>3.1</v>
      </c>
      <c r="AA347">
        <v>3.4</v>
      </c>
      <c r="AB347">
        <v>2.2000000000000002</v>
      </c>
      <c r="AC347">
        <v>3.3</v>
      </c>
      <c r="AD347">
        <v>3.3</v>
      </c>
      <c r="AE347">
        <v>2.1</v>
      </c>
      <c r="AF347">
        <v>3.1</v>
      </c>
      <c r="AG347">
        <v>3.4</v>
      </c>
      <c r="AH347">
        <v>2.25</v>
      </c>
      <c r="AI347">
        <v>3.22</v>
      </c>
      <c r="AJ347">
        <v>3.61</v>
      </c>
      <c r="AK347">
        <v>2.31</v>
      </c>
      <c r="AL347">
        <v>3.3</v>
      </c>
      <c r="AM347">
        <v>3.25</v>
      </c>
      <c r="AN347">
        <v>2.25</v>
      </c>
      <c r="AO347">
        <v>3.2</v>
      </c>
      <c r="AP347">
        <v>3.3</v>
      </c>
      <c r="AQ347">
        <v>2.2000000000000002</v>
      </c>
      <c r="AR347">
        <v>3.3</v>
      </c>
      <c r="AS347">
        <v>3.4</v>
      </c>
      <c r="AT347">
        <v>2.2999999999999998</v>
      </c>
      <c r="AU347">
        <v>48</v>
      </c>
      <c r="AV347">
        <v>3.46</v>
      </c>
      <c r="AW347">
        <v>3.2</v>
      </c>
      <c r="AX347">
        <v>3.61</v>
      </c>
      <c r="AY347">
        <v>3.35</v>
      </c>
      <c r="AZ347">
        <v>2.38</v>
      </c>
      <c r="BA347">
        <v>2.2200000000000002</v>
      </c>
      <c r="BB347">
        <v>44</v>
      </c>
      <c r="BC347">
        <v>1.81</v>
      </c>
      <c r="BD347">
        <v>1.72</v>
      </c>
      <c r="BE347">
        <v>2.25</v>
      </c>
      <c r="BF347">
        <v>2.08</v>
      </c>
      <c r="BG347">
        <v>22</v>
      </c>
      <c r="BH347">
        <v>0.5</v>
      </c>
      <c r="BI347">
        <v>1.73</v>
      </c>
      <c r="BJ347">
        <v>1.67</v>
      </c>
      <c r="BK347">
        <v>2.3199999999999998</v>
      </c>
      <c r="BL347">
        <v>2.2200000000000002</v>
      </c>
      <c r="BM347">
        <v>3.68</v>
      </c>
      <c r="BN347">
        <v>3.66</v>
      </c>
      <c r="BO347">
        <v>2.11</v>
      </c>
    </row>
    <row r="348" spans="1:67">
      <c r="A348" t="s">
        <v>63</v>
      </c>
      <c r="B348" s="77">
        <v>41756</v>
      </c>
      <c r="C348" t="s">
        <v>64</v>
      </c>
      <c r="D348" t="s">
        <v>82</v>
      </c>
      <c r="E348">
        <v>2</v>
      </c>
      <c r="F348">
        <v>1</v>
      </c>
      <c r="G348" t="s">
        <v>70</v>
      </c>
      <c r="H348">
        <v>0</v>
      </c>
      <c r="I348">
        <v>0</v>
      </c>
      <c r="J348" t="s">
        <v>67</v>
      </c>
      <c r="K348">
        <v>13</v>
      </c>
      <c r="L348">
        <v>6</v>
      </c>
      <c r="M348">
        <v>5</v>
      </c>
      <c r="N348">
        <v>2</v>
      </c>
      <c r="O348">
        <v>12</v>
      </c>
      <c r="P348">
        <v>15</v>
      </c>
      <c r="Q348">
        <v>5</v>
      </c>
      <c r="R348">
        <v>4</v>
      </c>
      <c r="S348">
        <v>1</v>
      </c>
      <c r="T348">
        <v>5</v>
      </c>
      <c r="U348">
        <v>1</v>
      </c>
      <c r="V348">
        <v>0</v>
      </c>
      <c r="W348">
        <v>2.4</v>
      </c>
      <c r="X348">
        <v>3.1</v>
      </c>
      <c r="Y348">
        <v>3.1</v>
      </c>
      <c r="Z348">
        <v>2.35</v>
      </c>
      <c r="AA348">
        <v>3</v>
      </c>
      <c r="AB348">
        <v>3.2</v>
      </c>
      <c r="AC348">
        <v>2.2999999999999998</v>
      </c>
      <c r="AD348">
        <v>2.9</v>
      </c>
      <c r="AE348">
        <v>3.3</v>
      </c>
      <c r="AF348">
        <v>2.25</v>
      </c>
      <c r="AG348">
        <v>3.2</v>
      </c>
      <c r="AH348">
        <v>3.25</v>
      </c>
      <c r="AI348">
        <v>2.4700000000000002</v>
      </c>
      <c r="AJ348">
        <v>3.11</v>
      </c>
      <c r="AK348">
        <v>3.41</v>
      </c>
      <c r="AL348">
        <v>2.5</v>
      </c>
      <c r="AM348">
        <v>3</v>
      </c>
      <c r="AN348">
        <v>3</v>
      </c>
      <c r="AO348">
        <v>2.38</v>
      </c>
      <c r="AP348">
        <v>3.13</v>
      </c>
      <c r="AQ348">
        <v>3</v>
      </c>
      <c r="AR348">
        <v>2.5</v>
      </c>
      <c r="AS348">
        <v>3.1</v>
      </c>
      <c r="AT348">
        <v>3.3</v>
      </c>
      <c r="AU348">
        <v>47</v>
      </c>
      <c r="AV348">
        <v>2.58</v>
      </c>
      <c r="AW348">
        <v>2.4</v>
      </c>
      <c r="AX348">
        <v>3.3</v>
      </c>
      <c r="AY348">
        <v>3.06</v>
      </c>
      <c r="AZ348">
        <v>3.47</v>
      </c>
      <c r="BA348">
        <v>3.15</v>
      </c>
      <c r="BB348">
        <v>41</v>
      </c>
      <c r="BC348">
        <v>2.2999999999999998</v>
      </c>
      <c r="BD348">
        <v>2.2200000000000002</v>
      </c>
      <c r="BE348">
        <v>1.75</v>
      </c>
      <c r="BF348">
        <v>1.64</v>
      </c>
      <c r="BG348">
        <v>20</v>
      </c>
      <c r="BH348">
        <v>0</v>
      </c>
      <c r="BI348">
        <v>1.7</v>
      </c>
      <c r="BJ348">
        <v>1.64</v>
      </c>
      <c r="BK348">
        <v>2.38</v>
      </c>
      <c r="BL348">
        <v>2.2799999999999998</v>
      </c>
      <c r="BM348">
        <v>2.31</v>
      </c>
      <c r="BN348">
        <v>3.35</v>
      </c>
      <c r="BO348">
        <v>3.46</v>
      </c>
    </row>
    <row r="349" spans="1:67">
      <c r="A349" t="s">
        <v>63</v>
      </c>
      <c r="B349" s="77">
        <v>41756</v>
      </c>
      <c r="C349" t="s">
        <v>83</v>
      </c>
      <c r="D349" t="s">
        <v>76</v>
      </c>
      <c r="E349">
        <v>2</v>
      </c>
      <c r="F349">
        <v>0</v>
      </c>
      <c r="G349" t="s">
        <v>70</v>
      </c>
      <c r="H349">
        <v>1</v>
      </c>
      <c r="I349">
        <v>0</v>
      </c>
      <c r="J349" t="s">
        <v>70</v>
      </c>
      <c r="K349">
        <v>14</v>
      </c>
      <c r="L349">
        <v>10</v>
      </c>
      <c r="M349">
        <v>3</v>
      </c>
      <c r="N349">
        <v>1</v>
      </c>
      <c r="O349">
        <v>9</v>
      </c>
      <c r="P349">
        <v>7</v>
      </c>
      <c r="Q349">
        <v>1</v>
      </c>
      <c r="R349">
        <v>2</v>
      </c>
      <c r="S349">
        <v>0</v>
      </c>
      <c r="T349">
        <v>3</v>
      </c>
      <c r="U349">
        <v>0</v>
      </c>
      <c r="V349">
        <v>0</v>
      </c>
      <c r="W349">
        <v>1.91</v>
      </c>
      <c r="X349">
        <v>3.25</v>
      </c>
      <c r="Y349">
        <v>4.33</v>
      </c>
      <c r="Z349">
        <v>1.83</v>
      </c>
      <c r="AA349">
        <v>3.4</v>
      </c>
      <c r="AB349">
        <v>4.4000000000000004</v>
      </c>
      <c r="AC349">
        <v>1.85</v>
      </c>
      <c r="AD349">
        <v>3.45</v>
      </c>
      <c r="AE349">
        <v>4</v>
      </c>
      <c r="AF349">
        <v>1.9</v>
      </c>
      <c r="AG349">
        <v>3.4</v>
      </c>
      <c r="AH349">
        <v>4</v>
      </c>
      <c r="AI349">
        <v>1.91</v>
      </c>
      <c r="AJ349">
        <v>3.65</v>
      </c>
      <c r="AK349">
        <v>4.49</v>
      </c>
      <c r="AL349">
        <v>1.85</v>
      </c>
      <c r="AM349">
        <v>3.3</v>
      </c>
      <c r="AN349">
        <v>4.5</v>
      </c>
      <c r="AO349">
        <v>1.83</v>
      </c>
      <c r="AP349">
        <v>3.2</v>
      </c>
      <c r="AQ349">
        <v>4.33</v>
      </c>
      <c r="AR349">
        <v>1.92</v>
      </c>
      <c r="AS349">
        <v>3.4</v>
      </c>
      <c r="AT349">
        <v>4.5999999999999996</v>
      </c>
      <c r="AU349">
        <v>47</v>
      </c>
      <c r="AV349">
        <v>1.95</v>
      </c>
      <c r="AW349">
        <v>1.88</v>
      </c>
      <c r="AX349">
        <v>3.65</v>
      </c>
      <c r="AY349">
        <v>3.37</v>
      </c>
      <c r="AZ349">
        <v>4.8</v>
      </c>
      <c r="BA349">
        <v>4.32</v>
      </c>
      <c r="BB349">
        <v>44</v>
      </c>
      <c r="BC349">
        <v>1.94</v>
      </c>
      <c r="BD349">
        <v>1.83</v>
      </c>
      <c r="BE349">
        <v>2.04</v>
      </c>
      <c r="BF349">
        <v>1.95</v>
      </c>
      <c r="BG349">
        <v>23</v>
      </c>
      <c r="BH349">
        <v>-0.5</v>
      </c>
      <c r="BI349">
        <v>1.91</v>
      </c>
      <c r="BJ349">
        <v>1.88</v>
      </c>
      <c r="BK349">
        <v>2.04</v>
      </c>
      <c r="BL349">
        <v>1.97</v>
      </c>
      <c r="BM349">
        <v>1.77</v>
      </c>
      <c r="BN349">
        <v>3.91</v>
      </c>
      <c r="BO349">
        <v>5</v>
      </c>
    </row>
    <row r="350" spans="1:67">
      <c r="A350" t="s">
        <v>63</v>
      </c>
      <c r="B350" s="77">
        <v>41756</v>
      </c>
      <c r="C350" t="s">
        <v>68</v>
      </c>
      <c r="D350" t="s">
        <v>86</v>
      </c>
      <c r="E350">
        <v>4</v>
      </c>
      <c r="F350">
        <v>0</v>
      </c>
      <c r="G350" t="s">
        <v>70</v>
      </c>
      <c r="H350">
        <v>3</v>
      </c>
      <c r="I350">
        <v>0</v>
      </c>
      <c r="J350" t="s">
        <v>70</v>
      </c>
      <c r="K350">
        <v>18</v>
      </c>
      <c r="L350">
        <v>11</v>
      </c>
      <c r="M350">
        <v>8</v>
      </c>
      <c r="N350">
        <v>2</v>
      </c>
      <c r="O350">
        <v>18</v>
      </c>
      <c r="P350">
        <v>16</v>
      </c>
      <c r="Q350">
        <v>6</v>
      </c>
      <c r="R350">
        <v>3</v>
      </c>
      <c r="S350">
        <v>0</v>
      </c>
      <c r="T350">
        <v>3</v>
      </c>
      <c r="U350">
        <v>0</v>
      </c>
      <c r="V350">
        <v>0</v>
      </c>
      <c r="W350">
        <v>2.2000000000000002</v>
      </c>
      <c r="X350">
        <v>3.5</v>
      </c>
      <c r="Y350">
        <v>3.1</v>
      </c>
      <c r="Z350">
        <v>2.2000000000000002</v>
      </c>
      <c r="AA350">
        <v>3.4</v>
      </c>
      <c r="AB350">
        <v>3.1</v>
      </c>
      <c r="AC350">
        <v>2.2999999999999998</v>
      </c>
      <c r="AD350">
        <v>3.3</v>
      </c>
      <c r="AE350">
        <v>2.9</v>
      </c>
      <c r="AF350">
        <v>2.1</v>
      </c>
      <c r="AG350">
        <v>3.5</v>
      </c>
      <c r="AH350">
        <v>3.3</v>
      </c>
      <c r="AI350">
        <v>2.21</v>
      </c>
      <c r="AJ350">
        <v>3.57</v>
      </c>
      <c r="AK350">
        <v>3.47</v>
      </c>
      <c r="AL350">
        <v>2.2999999999999998</v>
      </c>
      <c r="AM350">
        <v>3.3</v>
      </c>
      <c r="AN350">
        <v>3.1</v>
      </c>
      <c r="AO350">
        <v>2.2000000000000002</v>
      </c>
      <c r="AP350">
        <v>3.3</v>
      </c>
      <c r="AQ350">
        <v>3.13</v>
      </c>
      <c r="AR350">
        <v>2.25</v>
      </c>
      <c r="AS350">
        <v>3.5</v>
      </c>
      <c r="AT350">
        <v>3.4</v>
      </c>
      <c r="AU350">
        <v>48</v>
      </c>
      <c r="AV350">
        <v>2.2999999999999998</v>
      </c>
      <c r="AW350">
        <v>2.19</v>
      </c>
      <c r="AX350">
        <v>3.65</v>
      </c>
      <c r="AY350">
        <v>3.42</v>
      </c>
      <c r="AZ350">
        <v>3.47</v>
      </c>
      <c r="BA350">
        <v>3.22</v>
      </c>
      <c r="BB350">
        <v>36</v>
      </c>
      <c r="BC350">
        <v>1.68</v>
      </c>
      <c r="BD350">
        <v>1.6</v>
      </c>
      <c r="BE350">
        <v>2.4</v>
      </c>
      <c r="BF350">
        <v>2.27</v>
      </c>
      <c r="BG350">
        <v>23</v>
      </c>
      <c r="BH350">
        <v>-0.5</v>
      </c>
      <c r="BI350">
        <v>2.23</v>
      </c>
      <c r="BJ350">
        <v>2.16</v>
      </c>
      <c r="BK350">
        <v>1.76</v>
      </c>
      <c r="BL350">
        <v>1.71</v>
      </c>
      <c r="BM350">
        <v>2.11</v>
      </c>
      <c r="BN350">
        <v>3.79</v>
      </c>
      <c r="BO350">
        <v>3.54</v>
      </c>
    </row>
    <row r="351" spans="1:67">
      <c r="A351" t="s">
        <v>63</v>
      </c>
      <c r="B351" s="77">
        <v>41757</v>
      </c>
      <c r="C351" t="s">
        <v>84</v>
      </c>
      <c r="D351" t="s">
        <v>65</v>
      </c>
      <c r="E351">
        <v>1</v>
      </c>
      <c r="F351">
        <v>3</v>
      </c>
      <c r="G351" t="s">
        <v>66</v>
      </c>
      <c r="H351">
        <v>1</v>
      </c>
      <c r="I351">
        <v>1</v>
      </c>
      <c r="J351" t="s">
        <v>67</v>
      </c>
      <c r="K351">
        <v>12</v>
      </c>
      <c r="L351">
        <v>14</v>
      </c>
      <c r="M351">
        <v>4</v>
      </c>
      <c r="N351">
        <v>6</v>
      </c>
      <c r="O351">
        <v>20</v>
      </c>
      <c r="P351">
        <v>23</v>
      </c>
      <c r="Q351">
        <v>8</v>
      </c>
      <c r="R351">
        <v>3</v>
      </c>
      <c r="S351">
        <v>1</v>
      </c>
      <c r="T351">
        <v>1</v>
      </c>
      <c r="U351">
        <v>0</v>
      </c>
      <c r="V351">
        <v>0</v>
      </c>
      <c r="W351">
        <v>7</v>
      </c>
      <c r="X351">
        <v>4.75</v>
      </c>
      <c r="Y351">
        <v>1.4</v>
      </c>
      <c r="Z351">
        <v>7.5</v>
      </c>
      <c r="AA351">
        <v>4.7</v>
      </c>
      <c r="AB351">
        <v>1.38</v>
      </c>
      <c r="AC351">
        <v>7</v>
      </c>
      <c r="AD351">
        <v>4</v>
      </c>
      <c r="AE351">
        <v>1.45</v>
      </c>
      <c r="AF351">
        <v>9</v>
      </c>
      <c r="AG351">
        <v>5</v>
      </c>
      <c r="AH351">
        <v>1.33</v>
      </c>
      <c r="AI351">
        <v>8.6999999999999993</v>
      </c>
      <c r="AJ351">
        <v>4.7</v>
      </c>
      <c r="AK351">
        <v>1.44</v>
      </c>
      <c r="AL351">
        <v>8</v>
      </c>
      <c r="AM351">
        <v>4</v>
      </c>
      <c r="AN351">
        <v>1.44</v>
      </c>
      <c r="AO351">
        <v>6.5</v>
      </c>
      <c r="AP351">
        <v>4.5</v>
      </c>
      <c r="AQ351">
        <v>1.4</v>
      </c>
      <c r="AR351">
        <v>9</v>
      </c>
      <c r="AS351">
        <v>4.5999999999999996</v>
      </c>
      <c r="AT351">
        <v>1.44</v>
      </c>
      <c r="AU351">
        <v>45</v>
      </c>
      <c r="AV351">
        <v>9</v>
      </c>
      <c r="AW351">
        <v>7.68</v>
      </c>
      <c r="AX351">
        <v>5</v>
      </c>
      <c r="AY351">
        <v>4.47</v>
      </c>
      <c r="AZ351">
        <v>1.45</v>
      </c>
      <c r="BA351">
        <v>1.41</v>
      </c>
      <c r="BB351">
        <v>40</v>
      </c>
      <c r="BC351">
        <v>1.86</v>
      </c>
      <c r="BD351">
        <v>1.76</v>
      </c>
      <c r="BE351">
        <v>2.1800000000000002</v>
      </c>
      <c r="BF351">
        <v>2.0299999999999998</v>
      </c>
      <c r="BG351">
        <v>22</v>
      </c>
      <c r="BH351">
        <v>1.5</v>
      </c>
      <c r="BI351">
        <v>1.78</v>
      </c>
      <c r="BJ351">
        <v>1.65</v>
      </c>
      <c r="BK351">
        <v>2.42</v>
      </c>
      <c r="BL351">
        <v>2.25</v>
      </c>
      <c r="BM351">
        <v>10.1</v>
      </c>
      <c r="BN351">
        <v>4.9000000000000004</v>
      </c>
      <c r="BO351">
        <v>1.39</v>
      </c>
    </row>
    <row r="352" spans="1:67">
      <c r="A352" t="s">
        <v>63</v>
      </c>
      <c r="B352" s="77">
        <v>41763</v>
      </c>
      <c r="C352" t="s">
        <v>86</v>
      </c>
      <c r="D352" t="s">
        <v>78</v>
      </c>
      <c r="E352">
        <v>4</v>
      </c>
      <c r="F352">
        <v>1</v>
      </c>
      <c r="G352" t="s">
        <v>70</v>
      </c>
      <c r="H352">
        <v>2</v>
      </c>
      <c r="I352">
        <v>1</v>
      </c>
      <c r="J352" t="s">
        <v>70</v>
      </c>
      <c r="K352">
        <v>13</v>
      </c>
      <c r="L352">
        <v>12</v>
      </c>
      <c r="M352">
        <v>8</v>
      </c>
      <c r="N352">
        <v>4</v>
      </c>
      <c r="O352">
        <v>11</v>
      </c>
      <c r="P352">
        <v>8</v>
      </c>
      <c r="Q352">
        <v>6</v>
      </c>
      <c r="R352">
        <v>6</v>
      </c>
      <c r="S352">
        <v>2</v>
      </c>
      <c r="T352">
        <v>5</v>
      </c>
      <c r="U352">
        <v>0</v>
      </c>
      <c r="V352">
        <v>0</v>
      </c>
      <c r="W352">
        <v>6.5</v>
      </c>
      <c r="X352">
        <v>4.5</v>
      </c>
      <c r="Y352">
        <v>1.44</v>
      </c>
      <c r="Z352">
        <v>7</v>
      </c>
      <c r="AA352">
        <v>4.75</v>
      </c>
      <c r="AB352">
        <v>1.4</v>
      </c>
      <c r="AC352">
        <v>8</v>
      </c>
      <c r="AD352">
        <v>5</v>
      </c>
      <c r="AE352">
        <v>1.33</v>
      </c>
      <c r="AF352">
        <v>7.5</v>
      </c>
      <c r="AG352">
        <v>4.5</v>
      </c>
      <c r="AH352">
        <v>1.4</v>
      </c>
      <c r="AI352">
        <v>7.88</v>
      </c>
      <c r="AJ352">
        <v>5.05</v>
      </c>
      <c r="AK352">
        <v>1.44</v>
      </c>
      <c r="AL352">
        <v>8</v>
      </c>
      <c r="AM352">
        <v>4</v>
      </c>
      <c r="AN352">
        <v>1.44</v>
      </c>
      <c r="AO352">
        <v>6.25</v>
      </c>
      <c r="AP352">
        <v>4.5</v>
      </c>
      <c r="AQ352">
        <v>1.44</v>
      </c>
      <c r="AR352">
        <v>8</v>
      </c>
      <c r="AS352">
        <v>4.75</v>
      </c>
      <c r="AT352">
        <v>1.44</v>
      </c>
      <c r="AU352">
        <v>49</v>
      </c>
      <c r="AV352">
        <v>8.6999999999999993</v>
      </c>
      <c r="AW352">
        <v>7.23</v>
      </c>
      <c r="AX352">
        <v>5.25</v>
      </c>
      <c r="AY352">
        <v>4.59</v>
      </c>
      <c r="AZ352">
        <v>1.47</v>
      </c>
      <c r="BA352">
        <v>1.42</v>
      </c>
      <c r="BB352">
        <v>35</v>
      </c>
      <c r="BC352">
        <v>1.6</v>
      </c>
      <c r="BD352">
        <v>1.54</v>
      </c>
      <c r="BE352">
        <v>2.56</v>
      </c>
      <c r="BF352">
        <v>2.39</v>
      </c>
      <c r="BG352">
        <v>25</v>
      </c>
      <c r="BH352">
        <v>1</v>
      </c>
      <c r="BI352">
        <v>2.2999999999999998</v>
      </c>
      <c r="BJ352">
        <v>2.17</v>
      </c>
      <c r="BK352">
        <v>1.75</v>
      </c>
      <c r="BL352">
        <v>1.71</v>
      </c>
      <c r="BM352">
        <v>5.18</v>
      </c>
      <c r="BN352">
        <v>4.57</v>
      </c>
      <c r="BO352">
        <v>1.64</v>
      </c>
    </row>
    <row r="353" spans="1:67">
      <c r="A353" t="s">
        <v>63</v>
      </c>
      <c r="B353" s="77">
        <v>41763</v>
      </c>
      <c r="C353" t="s">
        <v>82</v>
      </c>
      <c r="D353" t="s">
        <v>83</v>
      </c>
      <c r="E353">
        <v>0</v>
      </c>
      <c r="F353">
        <v>1</v>
      </c>
      <c r="G353" t="s">
        <v>66</v>
      </c>
      <c r="H353">
        <v>0</v>
      </c>
      <c r="I353">
        <v>0</v>
      </c>
      <c r="J353" t="s">
        <v>67</v>
      </c>
      <c r="K353">
        <v>8</v>
      </c>
      <c r="L353">
        <v>20</v>
      </c>
      <c r="M353">
        <v>1</v>
      </c>
      <c r="N353">
        <v>3</v>
      </c>
      <c r="O353">
        <v>10</v>
      </c>
      <c r="P353">
        <v>9</v>
      </c>
      <c r="Q353">
        <v>3</v>
      </c>
      <c r="R353">
        <v>8</v>
      </c>
      <c r="S353">
        <v>4</v>
      </c>
      <c r="T353">
        <v>1</v>
      </c>
      <c r="U353">
        <v>1</v>
      </c>
      <c r="V353">
        <v>0</v>
      </c>
      <c r="W353">
        <v>2.75</v>
      </c>
      <c r="X353">
        <v>3.2</v>
      </c>
      <c r="Y353">
        <v>2.6</v>
      </c>
      <c r="Z353">
        <v>2.75</v>
      </c>
      <c r="AA353">
        <v>3.2</v>
      </c>
      <c r="AB353">
        <v>2.5499999999999998</v>
      </c>
      <c r="AC353">
        <v>2.6</v>
      </c>
      <c r="AD353">
        <v>3.2</v>
      </c>
      <c r="AE353">
        <v>2.6</v>
      </c>
      <c r="AF353">
        <v>2.62</v>
      </c>
      <c r="AG353">
        <v>3.25</v>
      </c>
      <c r="AH353">
        <v>2.62</v>
      </c>
      <c r="AI353">
        <v>2.95</v>
      </c>
      <c r="AJ353">
        <v>3.21</v>
      </c>
      <c r="AK353">
        <v>2.7</v>
      </c>
      <c r="AL353">
        <v>2.9</v>
      </c>
      <c r="AM353">
        <v>3</v>
      </c>
      <c r="AN353">
        <v>2.62</v>
      </c>
      <c r="AO353">
        <v>2.75</v>
      </c>
      <c r="AP353">
        <v>3.13</v>
      </c>
      <c r="AQ353">
        <v>2.5</v>
      </c>
      <c r="AR353">
        <v>2.9</v>
      </c>
      <c r="AS353">
        <v>3.2</v>
      </c>
      <c r="AT353">
        <v>2.7</v>
      </c>
      <c r="AU353">
        <v>49</v>
      </c>
      <c r="AV353">
        <v>3</v>
      </c>
      <c r="AW353">
        <v>2.81</v>
      </c>
      <c r="AX353">
        <v>3.3</v>
      </c>
      <c r="AY353">
        <v>3.17</v>
      </c>
      <c r="AZ353">
        <v>2.74</v>
      </c>
      <c r="BA353">
        <v>2.57</v>
      </c>
      <c r="BB353">
        <v>44</v>
      </c>
      <c r="BC353">
        <v>2.1800000000000002</v>
      </c>
      <c r="BD353">
        <v>2.0699999999999998</v>
      </c>
      <c r="BE353">
        <v>1.8</v>
      </c>
      <c r="BF353">
        <v>1.73</v>
      </c>
      <c r="BG353">
        <v>26</v>
      </c>
      <c r="BH353">
        <v>0</v>
      </c>
      <c r="BI353">
        <v>2.08</v>
      </c>
      <c r="BJ353">
        <v>2</v>
      </c>
      <c r="BK353">
        <v>1.89</v>
      </c>
      <c r="BL353">
        <v>1.84</v>
      </c>
      <c r="BM353">
        <v>3.59</v>
      </c>
      <c r="BN353">
        <v>3.37</v>
      </c>
      <c r="BO353">
        <v>2.2400000000000002</v>
      </c>
    </row>
    <row r="354" spans="1:67">
      <c r="A354" t="s">
        <v>63</v>
      </c>
      <c r="B354" s="77">
        <v>41763</v>
      </c>
      <c r="C354" t="s">
        <v>74</v>
      </c>
      <c r="D354" t="s">
        <v>80</v>
      </c>
      <c r="E354">
        <v>0</v>
      </c>
      <c r="F354">
        <v>0</v>
      </c>
      <c r="G354" t="s">
        <v>67</v>
      </c>
      <c r="H354">
        <v>0</v>
      </c>
      <c r="I354">
        <v>0</v>
      </c>
      <c r="J354" t="s">
        <v>67</v>
      </c>
      <c r="K354">
        <v>6</v>
      </c>
      <c r="L354">
        <v>14</v>
      </c>
      <c r="M354">
        <v>1</v>
      </c>
      <c r="N354">
        <v>3</v>
      </c>
      <c r="O354">
        <v>19</v>
      </c>
      <c r="P354">
        <v>23</v>
      </c>
      <c r="Q354">
        <v>2</v>
      </c>
      <c r="R354">
        <v>5</v>
      </c>
      <c r="S354">
        <v>3</v>
      </c>
      <c r="T354">
        <v>4</v>
      </c>
      <c r="U354">
        <v>0</v>
      </c>
      <c r="V354">
        <v>0</v>
      </c>
      <c r="W354">
        <v>2.5</v>
      </c>
      <c r="X354">
        <v>3.2</v>
      </c>
      <c r="Y354">
        <v>2.88</v>
      </c>
      <c r="Z354">
        <v>2.5</v>
      </c>
      <c r="AA354">
        <v>3.2</v>
      </c>
      <c r="AB354">
        <v>2.8</v>
      </c>
      <c r="AC354">
        <v>2.6</v>
      </c>
      <c r="AD354">
        <v>3.2</v>
      </c>
      <c r="AE354">
        <v>2.6</v>
      </c>
      <c r="AF354">
        <v>2.5</v>
      </c>
      <c r="AG354">
        <v>3.25</v>
      </c>
      <c r="AH354">
        <v>2.8</v>
      </c>
      <c r="AI354">
        <v>2.63</v>
      </c>
      <c r="AJ354">
        <v>3.27</v>
      </c>
      <c r="AK354">
        <v>2.99</v>
      </c>
      <c r="AL354">
        <v>2.5</v>
      </c>
      <c r="AM354">
        <v>3.2</v>
      </c>
      <c r="AN354">
        <v>2.88</v>
      </c>
      <c r="AO354">
        <v>2.5</v>
      </c>
      <c r="AP354">
        <v>3.13</v>
      </c>
      <c r="AQ354">
        <v>2.75</v>
      </c>
      <c r="AR354">
        <v>2.62</v>
      </c>
      <c r="AS354">
        <v>3.2</v>
      </c>
      <c r="AT354">
        <v>3</v>
      </c>
      <c r="AU354">
        <v>49</v>
      </c>
      <c r="AV354">
        <v>2.65</v>
      </c>
      <c r="AW354">
        <v>2.5299999999999998</v>
      </c>
      <c r="AX354">
        <v>3.33</v>
      </c>
      <c r="AY354">
        <v>3.21</v>
      </c>
      <c r="AZ354">
        <v>3</v>
      </c>
      <c r="BA354">
        <v>2.84</v>
      </c>
      <c r="BB354">
        <v>44</v>
      </c>
      <c r="BC354">
        <v>2.15</v>
      </c>
      <c r="BD354">
        <v>2.06</v>
      </c>
      <c r="BE354">
        <v>1.85</v>
      </c>
      <c r="BF354">
        <v>1.74</v>
      </c>
      <c r="BG354">
        <v>25</v>
      </c>
      <c r="BH354">
        <v>0</v>
      </c>
      <c r="BI354">
        <v>1.86</v>
      </c>
      <c r="BJ354">
        <v>1.82</v>
      </c>
      <c r="BK354">
        <v>2.1</v>
      </c>
      <c r="BL354">
        <v>2.04</v>
      </c>
      <c r="BM354">
        <v>2.74</v>
      </c>
      <c r="BN354">
        <v>3.19</v>
      </c>
      <c r="BO354">
        <v>2.91</v>
      </c>
    </row>
    <row r="355" spans="1:67">
      <c r="A355" t="s">
        <v>63</v>
      </c>
      <c r="B355" s="77">
        <v>41763</v>
      </c>
      <c r="C355" t="s">
        <v>69</v>
      </c>
      <c r="D355" t="s">
        <v>73</v>
      </c>
      <c r="E355">
        <v>1</v>
      </c>
      <c r="F355">
        <v>0</v>
      </c>
      <c r="G355" t="s">
        <v>70</v>
      </c>
      <c r="H355">
        <v>0</v>
      </c>
      <c r="I355">
        <v>0</v>
      </c>
      <c r="J355" t="s">
        <v>67</v>
      </c>
      <c r="K355">
        <v>14</v>
      </c>
      <c r="L355">
        <v>7</v>
      </c>
      <c r="M355">
        <v>4</v>
      </c>
      <c r="N355">
        <v>0</v>
      </c>
      <c r="O355">
        <v>16</v>
      </c>
      <c r="P355">
        <v>15</v>
      </c>
      <c r="Q355">
        <v>5</v>
      </c>
      <c r="R355">
        <v>5</v>
      </c>
      <c r="S355">
        <v>3</v>
      </c>
      <c r="T355">
        <v>3</v>
      </c>
      <c r="U355">
        <v>0</v>
      </c>
      <c r="V355">
        <v>0</v>
      </c>
      <c r="W355">
        <v>2.4</v>
      </c>
      <c r="X355">
        <v>3.4</v>
      </c>
      <c r="Y355">
        <v>2.8</v>
      </c>
      <c r="Z355">
        <v>2.4500000000000002</v>
      </c>
      <c r="AA355">
        <v>3.4</v>
      </c>
      <c r="AB355">
        <v>2.75</v>
      </c>
      <c r="AC355">
        <v>2.6</v>
      </c>
      <c r="AD355">
        <v>3.2</v>
      </c>
      <c r="AE355">
        <v>2.6</v>
      </c>
      <c r="AF355">
        <v>2.37</v>
      </c>
      <c r="AG355">
        <v>3.4</v>
      </c>
      <c r="AH355">
        <v>2.87</v>
      </c>
      <c r="AI355">
        <v>2.48</v>
      </c>
      <c r="AJ355">
        <v>3.49</v>
      </c>
      <c r="AK355">
        <v>3.02</v>
      </c>
      <c r="AL355">
        <v>2.62</v>
      </c>
      <c r="AM355">
        <v>3.1</v>
      </c>
      <c r="AN355">
        <v>2.8</v>
      </c>
      <c r="AO355">
        <v>2.38</v>
      </c>
      <c r="AP355">
        <v>3.3</v>
      </c>
      <c r="AQ355">
        <v>2.88</v>
      </c>
      <c r="AR355">
        <v>2.5</v>
      </c>
      <c r="AS355">
        <v>3.4</v>
      </c>
      <c r="AT355">
        <v>3</v>
      </c>
      <c r="AU355">
        <v>49</v>
      </c>
      <c r="AV355">
        <v>2.62</v>
      </c>
      <c r="AW355">
        <v>2.42</v>
      </c>
      <c r="AX355">
        <v>3.5</v>
      </c>
      <c r="AY355">
        <v>3.33</v>
      </c>
      <c r="AZ355">
        <v>3.1</v>
      </c>
      <c r="BA355">
        <v>2.88</v>
      </c>
      <c r="BB355">
        <v>44</v>
      </c>
      <c r="BC355">
        <v>1.8</v>
      </c>
      <c r="BD355">
        <v>1.73</v>
      </c>
      <c r="BE355">
        <v>2.1800000000000002</v>
      </c>
      <c r="BF355">
        <v>2.0699999999999998</v>
      </c>
      <c r="BG355">
        <v>25</v>
      </c>
      <c r="BH355">
        <v>0</v>
      </c>
      <c r="BI355">
        <v>1.8</v>
      </c>
      <c r="BJ355">
        <v>1.74</v>
      </c>
      <c r="BK355">
        <v>2.2000000000000002</v>
      </c>
      <c r="BL355">
        <v>2.11</v>
      </c>
      <c r="BM355">
        <v>2.4700000000000002</v>
      </c>
      <c r="BN355">
        <v>3.46</v>
      </c>
      <c r="BO355">
        <v>3.08</v>
      </c>
    </row>
    <row r="356" spans="1:67">
      <c r="A356" t="s">
        <v>63</v>
      </c>
      <c r="B356" s="77">
        <v>41763</v>
      </c>
      <c r="C356" t="s">
        <v>81</v>
      </c>
      <c r="D356" t="s">
        <v>64</v>
      </c>
      <c r="E356">
        <v>2</v>
      </c>
      <c r="F356">
        <v>0</v>
      </c>
      <c r="G356" t="s">
        <v>70</v>
      </c>
      <c r="H356">
        <v>1</v>
      </c>
      <c r="I356">
        <v>0</v>
      </c>
      <c r="J356" t="s">
        <v>70</v>
      </c>
      <c r="K356">
        <v>12</v>
      </c>
      <c r="L356">
        <v>10</v>
      </c>
      <c r="M356">
        <v>7</v>
      </c>
      <c r="N356">
        <v>4</v>
      </c>
      <c r="O356">
        <v>17</v>
      </c>
      <c r="P356">
        <v>17</v>
      </c>
      <c r="Q356">
        <v>5</v>
      </c>
      <c r="R356">
        <v>5</v>
      </c>
      <c r="S356">
        <v>3</v>
      </c>
      <c r="T356">
        <v>1</v>
      </c>
      <c r="U356">
        <v>0</v>
      </c>
      <c r="V356">
        <v>0</v>
      </c>
      <c r="W356">
        <v>1.5</v>
      </c>
      <c r="X356">
        <v>3.75</v>
      </c>
      <c r="Y356">
        <v>7.5</v>
      </c>
      <c r="Z356">
        <v>1.57</v>
      </c>
      <c r="AA356">
        <v>3.75</v>
      </c>
      <c r="AB356">
        <v>6</v>
      </c>
      <c r="AC356">
        <v>1.65</v>
      </c>
      <c r="AD356">
        <v>3.7</v>
      </c>
      <c r="AE356">
        <v>4.9000000000000004</v>
      </c>
      <c r="AF356">
        <v>1.6</v>
      </c>
      <c r="AG356">
        <v>3.8</v>
      </c>
      <c r="AH356">
        <v>5.5</v>
      </c>
      <c r="AI356">
        <v>1.57</v>
      </c>
      <c r="AJ356">
        <v>4.1100000000000003</v>
      </c>
      <c r="AK356">
        <v>7.21</v>
      </c>
      <c r="AL356">
        <v>1.6</v>
      </c>
      <c r="AM356">
        <v>3.6</v>
      </c>
      <c r="AN356">
        <v>6</v>
      </c>
      <c r="AO356">
        <v>1.53</v>
      </c>
      <c r="AP356">
        <v>3.75</v>
      </c>
      <c r="AQ356">
        <v>6</v>
      </c>
      <c r="AR356">
        <v>1.57</v>
      </c>
      <c r="AS356">
        <v>4</v>
      </c>
      <c r="AT356">
        <v>7</v>
      </c>
      <c r="AU356">
        <v>49</v>
      </c>
      <c r="AV356">
        <v>1.65</v>
      </c>
      <c r="AW356">
        <v>1.55</v>
      </c>
      <c r="AX356">
        <v>4.1100000000000003</v>
      </c>
      <c r="AY356">
        <v>3.88</v>
      </c>
      <c r="AZ356">
        <v>7.54</v>
      </c>
      <c r="BA356">
        <v>6.39</v>
      </c>
      <c r="BB356">
        <v>45</v>
      </c>
      <c r="BC356">
        <v>1.84</v>
      </c>
      <c r="BD356">
        <v>1.75</v>
      </c>
      <c r="BE356">
        <v>2.15</v>
      </c>
      <c r="BF356">
        <v>2.0499999999999998</v>
      </c>
      <c r="BG356">
        <v>28</v>
      </c>
      <c r="BH356">
        <v>-1</v>
      </c>
      <c r="BI356">
        <v>2.02</v>
      </c>
      <c r="BJ356">
        <v>1.93</v>
      </c>
      <c r="BK356">
        <v>1.98</v>
      </c>
      <c r="BL356">
        <v>1.92</v>
      </c>
      <c r="BM356">
        <v>1.48</v>
      </c>
      <c r="BN356">
        <v>4.67</v>
      </c>
      <c r="BO356">
        <v>7.67</v>
      </c>
    </row>
    <row r="357" spans="1:67">
      <c r="A357" t="s">
        <v>63</v>
      </c>
      <c r="B357" s="77">
        <v>41763</v>
      </c>
      <c r="C357" t="s">
        <v>76</v>
      </c>
      <c r="D357" t="s">
        <v>77</v>
      </c>
      <c r="E357">
        <v>5</v>
      </c>
      <c r="F357">
        <v>3</v>
      </c>
      <c r="G357" t="s">
        <v>70</v>
      </c>
      <c r="H357">
        <v>5</v>
      </c>
      <c r="I357">
        <v>2</v>
      </c>
      <c r="J357" t="s">
        <v>70</v>
      </c>
      <c r="K357">
        <v>15</v>
      </c>
      <c r="L357">
        <v>19</v>
      </c>
      <c r="M357">
        <v>7</v>
      </c>
      <c r="N357">
        <v>6</v>
      </c>
      <c r="O357">
        <v>14</v>
      </c>
      <c r="P357">
        <v>12</v>
      </c>
      <c r="Q357">
        <v>6</v>
      </c>
      <c r="R357">
        <v>11</v>
      </c>
      <c r="S357">
        <v>1</v>
      </c>
      <c r="T357">
        <v>3</v>
      </c>
      <c r="U357">
        <v>0</v>
      </c>
      <c r="V357">
        <v>0</v>
      </c>
      <c r="W357">
        <v>1.83</v>
      </c>
      <c r="X357">
        <v>3.6</v>
      </c>
      <c r="Y357">
        <v>4.2</v>
      </c>
      <c r="Z357">
        <v>1.85</v>
      </c>
      <c r="AA357">
        <v>3.7</v>
      </c>
      <c r="AB357">
        <v>3.9</v>
      </c>
      <c r="AC357">
        <v>1.9</v>
      </c>
      <c r="AD357">
        <v>3.5</v>
      </c>
      <c r="AE357">
        <v>3.7</v>
      </c>
      <c r="AF357">
        <v>1.8</v>
      </c>
      <c r="AG357">
        <v>3.6</v>
      </c>
      <c r="AH357">
        <v>4.33</v>
      </c>
      <c r="AI357">
        <v>1.86</v>
      </c>
      <c r="AJ357">
        <v>3.74</v>
      </c>
      <c r="AK357">
        <v>4.62</v>
      </c>
      <c r="AL357">
        <v>1.91</v>
      </c>
      <c r="AM357">
        <v>3.3</v>
      </c>
      <c r="AN357">
        <v>4.2</v>
      </c>
      <c r="AO357">
        <v>1.83</v>
      </c>
      <c r="AP357">
        <v>3.4</v>
      </c>
      <c r="AQ357">
        <v>4</v>
      </c>
      <c r="AR357">
        <v>1.87</v>
      </c>
      <c r="AS357">
        <v>3.6</v>
      </c>
      <c r="AT357">
        <v>4.5999999999999996</v>
      </c>
      <c r="AU357">
        <v>49</v>
      </c>
      <c r="AV357">
        <v>1.91</v>
      </c>
      <c r="AW357">
        <v>1.85</v>
      </c>
      <c r="AX357">
        <v>3.72</v>
      </c>
      <c r="AY357">
        <v>3.55</v>
      </c>
      <c r="AZ357">
        <v>4.5999999999999996</v>
      </c>
      <c r="BA357">
        <v>4.1900000000000004</v>
      </c>
      <c r="BB357">
        <v>45</v>
      </c>
      <c r="BC357">
        <v>1.86</v>
      </c>
      <c r="BD357">
        <v>1.81</v>
      </c>
      <c r="BE357">
        <v>2.08</v>
      </c>
      <c r="BF357">
        <v>1.98</v>
      </c>
      <c r="BG357">
        <v>25</v>
      </c>
      <c r="BH357">
        <v>-0.5</v>
      </c>
      <c r="BI357">
        <v>1.87</v>
      </c>
      <c r="BJ357">
        <v>1.84</v>
      </c>
      <c r="BK357">
        <v>2.08</v>
      </c>
      <c r="BL357">
        <v>2.0099999999999998</v>
      </c>
      <c r="BM357">
        <v>1.69</v>
      </c>
      <c r="BN357">
        <v>4.22</v>
      </c>
      <c r="BO357">
        <v>5.22</v>
      </c>
    </row>
    <row r="358" spans="1:67">
      <c r="A358" t="s">
        <v>63</v>
      </c>
      <c r="B358" s="77">
        <v>41764</v>
      </c>
      <c r="C358" t="s">
        <v>65</v>
      </c>
      <c r="D358" t="s">
        <v>72</v>
      </c>
      <c r="E358">
        <v>1</v>
      </c>
      <c r="F358">
        <v>0</v>
      </c>
      <c r="G358" t="s">
        <v>70</v>
      </c>
      <c r="H358">
        <v>0</v>
      </c>
      <c r="I358">
        <v>0</v>
      </c>
      <c r="J358" t="s">
        <v>67</v>
      </c>
      <c r="K358">
        <v>19</v>
      </c>
      <c r="L358">
        <v>9</v>
      </c>
      <c r="M358">
        <v>4</v>
      </c>
      <c r="N358">
        <v>2</v>
      </c>
      <c r="O358">
        <v>18</v>
      </c>
      <c r="P358">
        <v>11</v>
      </c>
      <c r="Q358">
        <v>3</v>
      </c>
      <c r="R358">
        <v>5</v>
      </c>
      <c r="S358">
        <v>0</v>
      </c>
      <c r="T358">
        <v>1</v>
      </c>
      <c r="U358">
        <v>0</v>
      </c>
      <c r="V358">
        <v>0</v>
      </c>
      <c r="W358">
        <v>1.17</v>
      </c>
      <c r="X358">
        <v>7</v>
      </c>
      <c r="Y358">
        <v>15</v>
      </c>
      <c r="Z358">
        <v>1.1499999999999999</v>
      </c>
      <c r="AA358">
        <v>7</v>
      </c>
      <c r="AB358">
        <v>17</v>
      </c>
      <c r="AC358">
        <v>1.1200000000000001</v>
      </c>
      <c r="AD358">
        <v>8</v>
      </c>
      <c r="AE358">
        <v>16</v>
      </c>
      <c r="AF358">
        <v>1.18</v>
      </c>
      <c r="AG358">
        <v>7</v>
      </c>
      <c r="AH358">
        <v>13</v>
      </c>
      <c r="AI358">
        <v>1.19</v>
      </c>
      <c r="AJ358">
        <v>7.66</v>
      </c>
      <c r="AK358">
        <v>20.84</v>
      </c>
      <c r="AL358">
        <v>1.2</v>
      </c>
      <c r="AM358">
        <v>5.5</v>
      </c>
      <c r="AN358">
        <v>19</v>
      </c>
      <c r="AO358">
        <v>1.17</v>
      </c>
      <c r="AP358">
        <v>6.5</v>
      </c>
      <c r="AQ358">
        <v>15</v>
      </c>
      <c r="AR358">
        <v>1.18</v>
      </c>
      <c r="AS358">
        <v>7</v>
      </c>
      <c r="AT358">
        <v>21</v>
      </c>
      <c r="AU358">
        <v>47</v>
      </c>
      <c r="AV358">
        <v>1.2</v>
      </c>
      <c r="AW358">
        <v>1.17</v>
      </c>
      <c r="AX358">
        <v>8.1999999999999993</v>
      </c>
      <c r="AY358">
        <v>6.98</v>
      </c>
      <c r="AZ358">
        <v>22</v>
      </c>
      <c r="BA358">
        <v>16.149999999999999</v>
      </c>
      <c r="BB358">
        <v>35</v>
      </c>
      <c r="BC358">
        <v>1.7</v>
      </c>
      <c r="BD358">
        <v>1.62</v>
      </c>
      <c r="BE358">
        <v>2.36</v>
      </c>
      <c r="BF358">
        <v>2.23</v>
      </c>
      <c r="BG358">
        <v>25</v>
      </c>
      <c r="BH358">
        <v>-2</v>
      </c>
      <c r="BI358">
        <v>2.0499999999999998</v>
      </c>
      <c r="BJ358">
        <v>1.98</v>
      </c>
      <c r="BK358">
        <v>1.94</v>
      </c>
      <c r="BL358">
        <v>1.86</v>
      </c>
      <c r="BM358">
        <v>1.36</v>
      </c>
      <c r="BN358">
        <v>5.26</v>
      </c>
      <c r="BO358">
        <v>10</v>
      </c>
    </row>
    <row r="359" spans="1:67">
      <c r="A359" t="s">
        <v>63</v>
      </c>
      <c r="B359" s="77">
        <v>41764</v>
      </c>
      <c r="C359" t="s">
        <v>75</v>
      </c>
      <c r="D359" t="s">
        <v>68</v>
      </c>
      <c r="E359">
        <v>3</v>
      </c>
      <c r="F359">
        <v>3</v>
      </c>
      <c r="G359" t="s">
        <v>67</v>
      </c>
      <c r="H359">
        <v>1</v>
      </c>
      <c r="I359">
        <v>1</v>
      </c>
      <c r="J359" t="s">
        <v>67</v>
      </c>
      <c r="K359">
        <v>16</v>
      </c>
      <c r="L359">
        <v>18</v>
      </c>
      <c r="M359">
        <v>6</v>
      </c>
      <c r="N359">
        <v>6</v>
      </c>
      <c r="O359">
        <v>18</v>
      </c>
      <c r="P359">
        <v>19</v>
      </c>
      <c r="Q359">
        <v>9</v>
      </c>
      <c r="R359">
        <v>7</v>
      </c>
      <c r="S359">
        <v>1</v>
      </c>
      <c r="T359">
        <v>6</v>
      </c>
      <c r="U359">
        <v>1</v>
      </c>
      <c r="V359">
        <v>1</v>
      </c>
      <c r="W359">
        <v>1.62</v>
      </c>
      <c r="X359">
        <v>4</v>
      </c>
      <c r="Y359">
        <v>5.25</v>
      </c>
      <c r="Z359">
        <v>1.65</v>
      </c>
      <c r="AA359">
        <v>3.7</v>
      </c>
      <c r="AB359">
        <v>5.25</v>
      </c>
      <c r="AC359">
        <v>1.75</v>
      </c>
      <c r="AD359">
        <v>3.5</v>
      </c>
      <c r="AE359">
        <v>4.5</v>
      </c>
      <c r="AF359">
        <v>1.7</v>
      </c>
      <c r="AG359">
        <v>3.75</v>
      </c>
      <c r="AH359">
        <v>4.8</v>
      </c>
      <c r="AI359">
        <v>1.65</v>
      </c>
      <c r="AJ359">
        <v>4.1500000000000004</v>
      </c>
      <c r="AK359">
        <v>5.8</v>
      </c>
      <c r="AL359">
        <v>1.7</v>
      </c>
      <c r="AM359">
        <v>3.6</v>
      </c>
      <c r="AN359">
        <v>5</v>
      </c>
      <c r="AO359">
        <v>1.62</v>
      </c>
      <c r="AP359">
        <v>3.75</v>
      </c>
      <c r="AQ359">
        <v>5</v>
      </c>
      <c r="AR359">
        <v>1.67</v>
      </c>
      <c r="AS359">
        <v>4</v>
      </c>
      <c r="AT359">
        <v>5.5</v>
      </c>
      <c r="AU359">
        <v>47</v>
      </c>
      <c r="AV359">
        <v>1.75</v>
      </c>
      <c r="AW359">
        <v>1.65</v>
      </c>
      <c r="AX359">
        <v>4.1500000000000004</v>
      </c>
      <c r="AY359">
        <v>3.85</v>
      </c>
      <c r="AZ359">
        <v>5.6</v>
      </c>
      <c r="BA359">
        <v>5.08</v>
      </c>
      <c r="BB359">
        <v>35</v>
      </c>
      <c r="BC359">
        <v>1.67</v>
      </c>
      <c r="BD359">
        <v>1.56</v>
      </c>
      <c r="BE359">
        <v>2.56</v>
      </c>
      <c r="BF359">
        <v>2.35</v>
      </c>
      <c r="BG359">
        <v>21</v>
      </c>
      <c r="BH359">
        <v>-0.75</v>
      </c>
      <c r="BI359">
        <v>1.86</v>
      </c>
      <c r="BJ359">
        <v>1.82</v>
      </c>
      <c r="BK359">
        <v>2.1</v>
      </c>
      <c r="BL359">
        <v>2.04</v>
      </c>
      <c r="BM359">
        <v>1.58</v>
      </c>
      <c r="BN359">
        <v>4.46</v>
      </c>
      <c r="BO359">
        <v>6.05</v>
      </c>
    </row>
    <row r="360" spans="1:67">
      <c r="A360" t="s">
        <v>63</v>
      </c>
      <c r="B360" s="77">
        <v>41765</v>
      </c>
      <c r="C360" t="s">
        <v>85</v>
      </c>
      <c r="D360" t="s">
        <v>84</v>
      </c>
      <c r="E360">
        <v>3</v>
      </c>
      <c r="F360">
        <v>4</v>
      </c>
      <c r="G360" t="s">
        <v>66</v>
      </c>
      <c r="H360">
        <v>0</v>
      </c>
      <c r="I360">
        <v>3</v>
      </c>
      <c r="J360" t="s">
        <v>66</v>
      </c>
      <c r="K360">
        <v>24</v>
      </c>
      <c r="L360">
        <v>16</v>
      </c>
      <c r="M360">
        <v>7</v>
      </c>
      <c r="N360">
        <v>6</v>
      </c>
      <c r="O360">
        <v>8</v>
      </c>
      <c r="P360">
        <v>14</v>
      </c>
      <c r="Q360">
        <v>7</v>
      </c>
      <c r="R360">
        <v>3</v>
      </c>
      <c r="S360">
        <v>3</v>
      </c>
      <c r="T360">
        <v>3</v>
      </c>
      <c r="U360">
        <v>0</v>
      </c>
      <c r="V360">
        <v>0</v>
      </c>
      <c r="W360">
        <v>1.65</v>
      </c>
      <c r="X360">
        <v>4</v>
      </c>
      <c r="Y360">
        <v>4.75</v>
      </c>
      <c r="Z360">
        <v>1.62</v>
      </c>
      <c r="AA360">
        <v>3.9</v>
      </c>
      <c r="AB360">
        <v>5.0999999999999996</v>
      </c>
      <c r="AC360">
        <v>1.65</v>
      </c>
      <c r="AD360">
        <v>4</v>
      </c>
      <c r="AE360">
        <v>4.5</v>
      </c>
      <c r="AF360">
        <v>1.61</v>
      </c>
      <c r="AG360">
        <v>4</v>
      </c>
      <c r="AH360">
        <v>5</v>
      </c>
      <c r="AI360">
        <v>1.76</v>
      </c>
      <c r="AJ360">
        <v>3.96</v>
      </c>
      <c r="AK360">
        <v>5</v>
      </c>
      <c r="AL360">
        <v>1.67</v>
      </c>
      <c r="AM360">
        <v>3.8</v>
      </c>
      <c r="AN360">
        <v>5</v>
      </c>
      <c r="AO360">
        <v>1.67</v>
      </c>
      <c r="AP360">
        <v>3.75</v>
      </c>
      <c r="AQ360">
        <v>4.5</v>
      </c>
      <c r="AR360">
        <v>1.75</v>
      </c>
      <c r="AS360">
        <v>3.9</v>
      </c>
      <c r="AT360">
        <v>5</v>
      </c>
      <c r="AU360">
        <v>50</v>
      </c>
      <c r="AV360">
        <v>1.8</v>
      </c>
      <c r="AW360">
        <v>1.7</v>
      </c>
      <c r="AX360">
        <v>4.0999999999999996</v>
      </c>
      <c r="AY360">
        <v>3.83</v>
      </c>
      <c r="AZ360">
        <v>5.25</v>
      </c>
      <c r="BA360">
        <v>4.8600000000000003</v>
      </c>
      <c r="BB360">
        <v>43</v>
      </c>
      <c r="BC360">
        <v>1.72</v>
      </c>
      <c r="BD360">
        <v>1.65</v>
      </c>
      <c r="BE360">
        <v>2.38</v>
      </c>
      <c r="BF360">
        <v>2.21</v>
      </c>
      <c r="BG360">
        <v>27</v>
      </c>
      <c r="BH360">
        <v>-1</v>
      </c>
      <c r="BI360">
        <v>2.33</v>
      </c>
      <c r="BJ360">
        <v>2.23</v>
      </c>
      <c r="BK360">
        <v>1.73</v>
      </c>
      <c r="BL360">
        <v>1.68</v>
      </c>
      <c r="BM360">
        <v>1.85</v>
      </c>
      <c r="BN360">
        <v>3.96</v>
      </c>
      <c r="BO360">
        <v>4.4000000000000004</v>
      </c>
    </row>
    <row r="361" spans="1:67">
      <c r="A361" t="s">
        <v>63</v>
      </c>
      <c r="B361" s="77">
        <v>41765</v>
      </c>
      <c r="C361" t="s">
        <v>79</v>
      </c>
      <c r="D361" t="s">
        <v>71</v>
      </c>
      <c r="E361">
        <v>3</v>
      </c>
      <c r="F361">
        <v>0</v>
      </c>
      <c r="G361" t="s">
        <v>70</v>
      </c>
      <c r="H361">
        <v>2</v>
      </c>
      <c r="I361">
        <v>0</v>
      </c>
      <c r="J361" t="s">
        <v>70</v>
      </c>
      <c r="K361">
        <v>27</v>
      </c>
      <c r="L361">
        <v>4</v>
      </c>
      <c r="M361">
        <v>16</v>
      </c>
      <c r="N361">
        <v>2</v>
      </c>
      <c r="O361">
        <v>13</v>
      </c>
      <c r="P361">
        <v>8</v>
      </c>
      <c r="Q361">
        <v>5</v>
      </c>
      <c r="R361">
        <v>2</v>
      </c>
      <c r="S361">
        <v>3</v>
      </c>
      <c r="T361">
        <v>3</v>
      </c>
      <c r="U361">
        <v>0</v>
      </c>
      <c r="V361">
        <v>1</v>
      </c>
      <c r="W361">
        <v>1.44</v>
      </c>
      <c r="X361">
        <v>4.33</v>
      </c>
      <c r="Y361">
        <v>7</v>
      </c>
      <c r="Z361">
        <v>1.47</v>
      </c>
      <c r="AA361">
        <v>4.25</v>
      </c>
      <c r="AB361">
        <v>6.5</v>
      </c>
      <c r="AC361">
        <v>1.45</v>
      </c>
      <c r="AD361">
        <v>4</v>
      </c>
      <c r="AE361">
        <v>7</v>
      </c>
      <c r="AF361">
        <v>1.4</v>
      </c>
      <c r="AG361">
        <v>4.8</v>
      </c>
      <c r="AH361">
        <v>7</v>
      </c>
      <c r="AI361">
        <v>1.47</v>
      </c>
      <c r="AJ361">
        <v>4.7699999999999996</v>
      </c>
      <c r="AK361">
        <v>7.58</v>
      </c>
      <c r="AL361">
        <v>1.44</v>
      </c>
      <c r="AM361">
        <v>4.5</v>
      </c>
      <c r="AN361">
        <v>7</v>
      </c>
      <c r="AO361">
        <v>1.44</v>
      </c>
      <c r="AP361">
        <v>4.33</v>
      </c>
      <c r="AQ361">
        <v>6.5</v>
      </c>
      <c r="AR361">
        <v>1.5</v>
      </c>
      <c r="AS361">
        <v>4.4000000000000004</v>
      </c>
      <c r="AT361">
        <v>7.5</v>
      </c>
      <c r="AU361">
        <v>50</v>
      </c>
      <c r="AV361">
        <v>1.6</v>
      </c>
      <c r="AW361">
        <v>1.45</v>
      </c>
      <c r="AX361">
        <v>4.8</v>
      </c>
      <c r="AY361">
        <v>4.45</v>
      </c>
      <c r="AZ361">
        <v>7.84</v>
      </c>
      <c r="BA361">
        <v>7.08</v>
      </c>
      <c r="BB361">
        <v>42</v>
      </c>
      <c r="BC361">
        <v>1.7</v>
      </c>
      <c r="BD361">
        <v>1.63</v>
      </c>
      <c r="BE361">
        <v>2.38</v>
      </c>
      <c r="BF361">
        <v>2.23</v>
      </c>
      <c r="BG361">
        <v>27</v>
      </c>
      <c r="BH361">
        <v>-1</v>
      </c>
      <c r="BI361">
        <v>1.8</v>
      </c>
      <c r="BJ361">
        <v>1.74</v>
      </c>
      <c r="BK361">
        <v>2.2000000000000002</v>
      </c>
      <c r="BL361">
        <v>2.13</v>
      </c>
      <c r="BM361">
        <v>1.51</v>
      </c>
      <c r="BN361">
        <v>4.49</v>
      </c>
      <c r="BO361">
        <v>7.3</v>
      </c>
    </row>
    <row r="362" spans="1:67">
      <c r="A362" t="s">
        <v>63</v>
      </c>
      <c r="B362" s="77">
        <v>41769</v>
      </c>
      <c r="C362" t="s">
        <v>73</v>
      </c>
      <c r="D362" t="s">
        <v>75</v>
      </c>
      <c r="E362">
        <v>4</v>
      </c>
      <c r="F362">
        <v>1</v>
      </c>
      <c r="G362" t="s">
        <v>70</v>
      </c>
      <c r="H362">
        <v>3</v>
      </c>
      <c r="I362">
        <v>1</v>
      </c>
      <c r="J362" t="s">
        <v>70</v>
      </c>
      <c r="K362">
        <v>9</v>
      </c>
      <c r="L362">
        <v>17</v>
      </c>
      <c r="M362">
        <v>7</v>
      </c>
      <c r="N362">
        <v>9</v>
      </c>
      <c r="O362">
        <v>13</v>
      </c>
      <c r="P362">
        <v>15</v>
      </c>
      <c r="Q362">
        <v>3</v>
      </c>
      <c r="R362">
        <v>8</v>
      </c>
      <c r="S362">
        <v>1</v>
      </c>
      <c r="T362">
        <v>1</v>
      </c>
      <c r="U362">
        <v>0</v>
      </c>
      <c r="V362">
        <v>0</v>
      </c>
      <c r="W362">
        <v>1.73</v>
      </c>
      <c r="X362">
        <v>3.75</v>
      </c>
      <c r="Y362">
        <v>4.5</v>
      </c>
      <c r="Z362">
        <v>1.72</v>
      </c>
      <c r="AA362">
        <v>3.75</v>
      </c>
      <c r="AB362">
        <v>4.5</v>
      </c>
      <c r="AC362">
        <v>1.75</v>
      </c>
      <c r="AD362">
        <v>3.5</v>
      </c>
      <c r="AE362">
        <v>4.5</v>
      </c>
      <c r="AF362">
        <v>1.8</v>
      </c>
      <c r="AG362">
        <v>3.5</v>
      </c>
      <c r="AH362">
        <v>4.5</v>
      </c>
      <c r="AI362">
        <v>1.8</v>
      </c>
      <c r="AJ362">
        <v>4.0199999999999996</v>
      </c>
      <c r="AK362">
        <v>4.6100000000000003</v>
      </c>
      <c r="AL362">
        <v>1.75</v>
      </c>
      <c r="AM362">
        <v>3.4</v>
      </c>
      <c r="AN362">
        <v>5</v>
      </c>
      <c r="AO362">
        <v>1.73</v>
      </c>
      <c r="AP362">
        <v>3.5</v>
      </c>
      <c r="AQ362">
        <v>4.5</v>
      </c>
      <c r="AR362">
        <v>1.8</v>
      </c>
      <c r="AS362">
        <v>3.8</v>
      </c>
      <c r="AT362">
        <v>5</v>
      </c>
      <c r="AU362">
        <v>50</v>
      </c>
      <c r="AV362">
        <v>1.8</v>
      </c>
      <c r="AW362">
        <v>1.74</v>
      </c>
      <c r="AX362">
        <v>4.0999999999999996</v>
      </c>
      <c r="AY362">
        <v>3.7</v>
      </c>
      <c r="AZ362">
        <v>5</v>
      </c>
      <c r="BA362">
        <v>4.6500000000000004</v>
      </c>
      <c r="BB362">
        <v>36</v>
      </c>
      <c r="BC362">
        <v>1.67</v>
      </c>
      <c r="BD362">
        <v>1.62</v>
      </c>
      <c r="BE362">
        <v>2.44</v>
      </c>
      <c r="BF362">
        <v>2.25</v>
      </c>
      <c r="BG362">
        <v>23</v>
      </c>
      <c r="BH362">
        <v>-0.75</v>
      </c>
      <c r="BI362">
        <v>2.0299999999999998</v>
      </c>
      <c r="BJ362">
        <v>1.96</v>
      </c>
      <c r="BK362">
        <v>1.96</v>
      </c>
      <c r="BL362">
        <v>1.9</v>
      </c>
      <c r="BM362">
        <v>1.67</v>
      </c>
      <c r="BN362">
        <v>4.0999999999999996</v>
      </c>
      <c r="BO362">
        <v>5.61</v>
      </c>
    </row>
    <row r="363" spans="1:67">
      <c r="A363" t="s">
        <v>63</v>
      </c>
      <c r="B363" s="77">
        <v>41769</v>
      </c>
      <c r="C363" t="s">
        <v>68</v>
      </c>
      <c r="D363" t="s">
        <v>76</v>
      </c>
      <c r="E363">
        <v>2</v>
      </c>
      <c r="F363">
        <v>2</v>
      </c>
      <c r="G363" t="s">
        <v>67</v>
      </c>
      <c r="H363">
        <v>1</v>
      </c>
      <c r="I363">
        <v>0</v>
      </c>
      <c r="J363" t="s">
        <v>70</v>
      </c>
      <c r="K363">
        <v>10</v>
      </c>
      <c r="L363">
        <v>16</v>
      </c>
      <c r="M363">
        <v>4</v>
      </c>
      <c r="N363">
        <v>7</v>
      </c>
      <c r="O363">
        <v>14</v>
      </c>
      <c r="P363">
        <v>14</v>
      </c>
      <c r="Q363">
        <v>4</v>
      </c>
      <c r="R363">
        <v>7</v>
      </c>
      <c r="S363">
        <v>2</v>
      </c>
      <c r="T363">
        <v>4</v>
      </c>
      <c r="U363">
        <v>0</v>
      </c>
      <c r="V363">
        <v>0</v>
      </c>
      <c r="W363">
        <v>2.2000000000000002</v>
      </c>
      <c r="X363">
        <v>3.5</v>
      </c>
      <c r="Y363">
        <v>3.1</v>
      </c>
      <c r="Z363">
        <v>2.0499999999999998</v>
      </c>
      <c r="AA363">
        <v>3.4</v>
      </c>
      <c r="AB363">
        <v>3.5</v>
      </c>
      <c r="AC363">
        <v>2</v>
      </c>
      <c r="AD363">
        <v>3.4</v>
      </c>
      <c r="AE363">
        <v>3.5</v>
      </c>
      <c r="AF363">
        <v>2.1</v>
      </c>
      <c r="AG363">
        <v>3.5</v>
      </c>
      <c r="AH363">
        <v>3.3</v>
      </c>
      <c r="AI363">
        <v>2.1800000000000002</v>
      </c>
      <c r="AJ363">
        <v>3.6</v>
      </c>
      <c r="AK363">
        <v>3.51</v>
      </c>
      <c r="AL363">
        <v>2.2000000000000002</v>
      </c>
      <c r="AM363">
        <v>3.3</v>
      </c>
      <c r="AN363">
        <v>3.3</v>
      </c>
      <c r="AO363">
        <v>2.1</v>
      </c>
      <c r="AP363">
        <v>3.4</v>
      </c>
      <c r="AQ363">
        <v>3.13</v>
      </c>
      <c r="AR363">
        <v>2.2000000000000002</v>
      </c>
      <c r="AS363">
        <v>3.5</v>
      </c>
      <c r="AT363">
        <v>3.4</v>
      </c>
      <c r="AU363">
        <v>51</v>
      </c>
      <c r="AV363">
        <v>2.21</v>
      </c>
      <c r="AW363">
        <v>2.15</v>
      </c>
      <c r="AX363">
        <v>3.6</v>
      </c>
      <c r="AY363">
        <v>3.46</v>
      </c>
      <c r="AZ363">
        <v>3.55</v>
      </c>
      <c r="BA363">
        <v>3.25</v>
      </c>
      <c r="BB363">
        <v>37</v>
      </c>
      <c r="BC363">
        <v>1.66</v>
      </c>
      <c r="BD363">
        <v>1.6</v>
      </c>
      <c r="BE363">
        <v>2.48</v>
      </c>
      <c r="BF363">
        <v>2.27</v>
      </c>
      <c r="BG363">
        <v>24</v>
      </c>
      <c r="BH363">
        <v>-0.5</v>
      </c>
      <c r="BI363">
        <v>2.21</v>
      </c>
      <c r="BJ363">
        <v>2.14</v>
      </c>
      <c r="BK363">
        <v>1.78</v>
      </c>
      <c r="BL363">
        <v>1.73</v>
      </c>
      <c r="BM363">
        <v>2.02</v>
      </c>
      <c r="BN363">
        <v>3.93</v>
      </c>
      <c r="BO363">
        <v>3.67</v>
      </c>
    </row>
    <row r="364" spans="1:67">
      <c r="A364" t="s">
        <v>63</v>
      </c>
      <c r="B364" s="77">
        <v>41770</v>
      </c>
      <c r="C364" t="s">
        <v>72</v>
      </c>
      <c r="D364" t="s">
        <v>69</v>
      </c>
      <c r="E364">
        <v>2</v>
      </c>
      <c r="F364">
        <v>1</v>
      </c>
      <c r="G364" t="s">
        <v>70</v>
      </c>
      <c r="H364">
        <v>0</v>
      </c>
      <c r="I364">
        <v>0</v>
      </c>
      <c r="J364" t="s">
        <v>67</v>
      </c>
      <c r="K364">
        <v>17</v>
      </c>
      <c r="L364">
        <v>20</v>
      </c>
      <c r="M364">
        <v>3</v>
      </c>
      <c r="N364">
        <v>2</v>
      </c>
      <c r="O364">
        <v>7</v>
      </c>
      <c r="P364">
        <v>10</v>
      </c>
      <c r="Q364">
        <v>4</v>
      </c>
      <c r="R364">
        <v>5</v>
      </c>
      <c r="S364">
        <v>2</v>
      </c>
      <c r="T364">
        <v>2</v>
      </c>
      <c r="U364">
        <v>0</v>
      </c>
      <c r="V364">
        <v>0</v>
      </c>
      <c r="W364">
        <v>5.5</v>
      </c>
      <c r="X364">
        <v>3.8</v>
      </c>
      <c r="Y364">
        <v>1.62</v>
      </c>
      <c r="Z364">
        <v>5.75</v>
      </c>
      <c r="AA364">
        <v>4</v>
      </c>
      <c r="AB364">
        <v>1.55</v>
      </c>
      <c r="AC364">
        <v>5</v>
      </c>
      <c r="AD364">
        <v>3.6</v>
      </c>
      <c r="AE364">
        <v>1.65</v>
      </c>
      <c r="AF364">
        <v>5</v>
      </c>
      <c r="AG364">
        <v>3.75</v>
      </c>
      <c r="AH364">
        <v>1.66</v>
      </c>
      <c r="AI364">
        <v>5.79</v>
      </c>
      <c r="AJ364">
        <v>4.05</v>
      </c>
      <c r="AK364">
        <v>1.67</v>
      </c>
      <c r="AL364">
        <v>6.5</v>
      </c>
      <c r="AM364">
        <v>3.5</v>
      </c>
      <c r="AN364">
        <v>1.62</v>
      </c>
      <c r="AO364">
        <v>5</v>
      </c>
      <c r="AP364">
        <v>3.75</v>
      </c>
      <c r="AQ364">
        <v>1.62</v>
      </c>
      <c r="AR364">
        <v>6</v>
      </c>
      <c r="AS364">
        <v>3.9</v>
      </c>
      <c r="AT364">
        <v>1.67</v>
      </c>
      <c r="AU364">
        <v>51</v>
      </c>
      <c r="AV364">
        <v>6.5</v>
      </c>
      <c r="AW364">
        <v>5.52</v>
      </c>
      <c r="AX364">
        <v>4.2</v>
      </c>
      <c r="AY364">
        <v>3.83</v>
      </c>
      <c r="AZ364">
        <v>1.7</v>
      </c>
      <c r="BA364">
        <v>1.62</v>
      </c>
      <c r="BB364">
        <v>43</v>
      </c>
      <c r="BC364">
        <v>1.83</v>
      </c>
      <c r="BD364">
        <v>1.73</v>
      </c>
      <c r="BE364">
        <v>2.2599999999999998</v>
      </c>
      <c r="BF364">
        <v>2.0699999999999998</v>
      </c>
      <c r="BG364">
        <v>28</v>
      </c>
      <c r="BH364">
        <v>1</v>
      </c>
      <c r="BI364">
        <v>1.88</v>
      </c>
      <c r="BJ364">
        <v>1.75</v>
      </c>
      <c r="BK364">
        <v>2.21</v>
      </c>
      <c r="BL364">
        <v>2.13</v>
      </c>
      <c r="BM364">
        <v>6.66</v>
      </c>
      <c r="BN364">
        <v>4.5199999999999996</v>
      </c>
      <c r="BO364">
        <v>1.54</v>
      </c>
    </row>
    <row r="365" spans="1:67">
      <c r="A365" t="s">
        <v>63</v>
      </c>
      <c r="B365" s="77">
        <v>41770</v>
      </c>
      <c r="C365" t="s">
        <v>80</v>
      </c>
      <c r="D365" t="s">
        <v>86</v>
      </c>
      <c r="E365">
        <v>1</v>
      </c>
      <c r="F365">
        <v>2</v>
      </c>
      <c r="G365" t="s">
        <v>66</v>
      </c>
      <c r="H365">
        <v>0</v>
      </c>
      <c r="I365">
        <v>1</v>
      </c>
      <c r="J365" t="s">
        <v>66</v>
      </c>
      <c r="K365">
        <v>29</v>
      </c>
      <c r="L365">
        <v>11</v>
      </c>
      <c r="M365">
        <v>6</v>
      </c>
      <c r="N365">
        <v>3</v>
      </c>
      <c r="O365">
        <v>16</v>
      </c>
      <c r="P365">
        <v>19</v>
      </c>
      <c r="Q365">
        <v>13</v>
      </c>
      <c r="R365">
        <v>1</v>
      </c>
      <c r="S365">
        <v>3</v>
      </c>
      <c r="T365">
        <v>2</v>
      </c>
      <c r="U365">
        <v>1</v>
      </c>
      <c r="V365">
        <v>1</v>
      </c>
      <c r="W365">
        <v>2</v>
      </c>
      <c r="X365">
        <v>3.5</v>
      </c>
      <c r="Y365">
        <v>3.6</v>
      </c>
      <c r="Z365">
        <v>1.95</v>
      </c>
      <c r="AA365">
        <v>3.5</v>
      </c>
      <c r="AB365">
        <v>3.7</v>
      </c>
      <c r="AC365">
        <v>2</v>
      </c>
      <c r="AD365">
        <v>3.3</v>
      </c>
      <c r="AE365">
        <v>3.6</v>
      </c>
      <c r="AF365">
        <v>2.0499999999999998</v>
      </c>
      <c r="AG365">
        <v>3.3</v>
      </c>
      <c r="AH365">
        <v>3.6</v>
      </c>
      <c r="AI365">
        <v>2.0099999999999998</v>
      </c>
      <c r="AJ365">
        <v>3.62</v>
      </c>
      <c r="AK365">
        <v>4.05</v>
      </c>
      <c r="AL365">
        <v>2.0499999999999998</v>
      </c>
      <c r="AM365">
        <v>3.2</v>
      </c>
      <c r="AN365">
        <v>3.8</v>
      </c>
      <c r="AO365">
        <v>1.95</v>
      </c>
      <c r="AP365">
        <v>3.25</v>
      </c>
      <c r="AQ365">
        <v>3.75</v>
      </c>
      <c r="AR365">
        <v>2.0499999999999998</v>
      </c>
      <c r="AS365">
        <v>3.5</v>
      </c>
      <c r="AT365">
        <v>4</v>
      </c>
      <c r="AU365">
        <v>51</v>
      </c>
      <c r="AV365">
        <v>2.1</v>
      </c>
      <c r="AW365">
        <v>2</v>
      </c>
      <c r="AX365">
        <v>3.66</v>
      </c>
      <c r="AY365">
        <v>3.39</v>
      </c>
      <c r="AZ365">
        <v>4.05</v>
      </c>
      <c r="BA365">
        <v>3.77</v>
      </c>
      <c r="BB365">
        <v>46</v>
      </c>
      <c r="BC365">
        <v>2.04</v>
      </c>
      <c r="BD365">
        <v>1.93</v>
      </c>
      <c r="BE365">
        <v>1.93</v>
      </c>
      <c r="BF365">
        <v>1.85</v>
      </c>
      <c r="BG365">
        <v>25</v>
      </c>
      <c r="BH365">
        <v>-0.5</v>
      </c>
      <c r="BI365">
        <v>2.06</v>
      </c>
      <c r="BJ365">
        <v>1.98</v>
      </c>
      <c r="BK365">
        <v>1.92</v>
      </c>
      <c r="BL365">
        <v>1.87</v>
      </c>
      <c r="BM365">
        <v>2.13</v>
      </c>
      <c r="BN365">
        <v>3.67</v>
      </c>
      <c r="BO365">
        <v>3.59</v>
      </c>
    </row>
    <row r="366" spans="1:67">
      <c r="A366" t="s">
        <v>63</v>
      </c>
      <c r="B366" s="77">
        <v>41770</v>
      </c>
      <c r="C366" t="s">
        <v>71</v>
      </c>
      <c r="D366" t="s">
        <v>82</v>
      </c>
      <c r="E366">
        <v>0</v>
      </c>
      <c r="F366">
        <v>1</v>
      </c>
      <c r="G366" t="s">
        <v>66</v>
      </c>
      <c r="H366">
        <v>0</v>
      </c>
      <c r="I366">
        <v>0</v>
      </c>
      <c r="J366" t="s">
        <v>67</v>
      </c>
      <c r="K366">
        <v>11</v>
      </c>
      <c r="L366">
        <v>12</v>
      </c>
      <c r="M366">
        <v>3</v>
      </c>
      <c r="N366">
        <v>3</v>
      </c>
      <c r="O366">
        <v>13</v>
      </c>
      <c r="P366">
        <v>19</v>
      </c>
      <c r="Q366">
        <v>8</v>
      </c>
      <c r="R366">
        <v>3</v>
      </c>
      <c r="S366">
        <v>2</v>
      </c>
      <c r="T366">
        <v>2</v>
      </c>
      <c r="U366">
        <v>0</v>
      </c>
      <c r="V366">
        <v>0</v>
      </c>
      <c r="W366">
        <v>3.6</v>
      </c>
      <c r="X366">
        <v>3.25</v>
      </c>
      <c r="Y366">
        <v>2.1</v>
      </c>
      <c r="Z366">
        <v>3.75</v>
      </c>
      <c r="AA366">
        <v>3.3</v>
      </c>
      <c r="AB366">
        <v>2</v>
      </c>
      <c r="AC366">
        <v>3.6</v>
      </c>
      <c r="AD366">
        <v>3.3</v>
      </c>
      <c r="AE366">
        <v>2</v>
      </c>
      <c r="AF366">
        <v>3.5</v>
      </c>
      <c r="AG366">
        <v>3.2</v>
      </c>
      <c r="AH366">
        <v>2.15</v>
      </c>
      <c r="AI366">
        <v>4.03</v>
      </c>
      <c r="AJ366">
        <v>3.33</v>
      </c>
      <c r="AK366">
        <v>2.12</v>
      </c>
      <c r="AL366">
        <v>3.6</v>
      </c>
      <c r="AM366">
        <v>3.4</v>
      </c>
      <c r="AN366">
        <v>2.0499999999999998</v>
      </c>
      <c r="AO366">
        <v>3.6</v>
      </c>
      <c r="AP366">
        <v>3</v>
      </c>
      <c r="AQ366">
        <v>2.1</v>
      </c>
      <c r="AR366">
        <v>3.8</v>
      </c>
      <c r="AS366">
        <v>3.3</v>
      </c>
      <c r="AT366">
        <v>2.15</v>
      </c>
      <c r="AU366">
        <v>51</v>
      </c>
      <c r="AV366">
        <v>4.25</v>
      </c>
      <c r="AW366">
        <v>3.7</v>
      </c>
      <c r="AX366">
        <v>3.4</v>
      </c>
      <c r="AY366">
        <v>3.16</v>
      </c>
      <c r="AZ366">
        <v>2.2000000000000002</v>
      </c>
      <c r="BA366">
        <v>2.1</v>
      </c>
      <c r="BB366">
        <v>45</v>
      </c>
      <c r="BC366">
        <v>2.1800000000000002</v>
      </c>
      <c r="BD366">
        <v>2.08</v>
      </c>
      <c r="BE366">
        <v>1.8</v>
      </c>
      <c r="BF366">
        <v>1.72</v>
      </c>
      <c r="BG366">
        <v>21</v>
      </c>
      <c r="BH366">
        <v>0.25</v>
      </c>
      <c r="BI366">
        <v>2.14</v>
      </c>
      <c r="BJ366">
        <v>2.0699999999999998</v>
      </c>
      <c r="BK366">
        <v>1.83</v>
      </c>
      <c r="BL366">
        <v>1.81</v>
      </c>
      <c r="BM366">
        <v>4.1100000000000003</v>
      </c>
      <c r="BN366">
        <v>3.84</v>
      </c>
      <c r="BO366">
        <v>1.93</v>
      </c>
    </row>
    <row r="367" spans="1:67">
      <c r="A367" t="s">
        <v>63</v>
      </c>
      <c r="B367" s="77">
        <v>41770</v>
      </c>
      <c r="C367" t="s">
        <v>77</v>
      </c>
      <c r="D367" t="s">
        <v>85</v>
      </c>
      <c r="E367">
        <v>0</v>
      </c>
      <c r="F367">
        <v>1</v>
      </c>
      <c r="G367" t="s">
        <v>66</v>
      </c>
      <c r="H367">
        <v>0</v>
      </c>
      <c r="I367">
        <v>0</v>
      </c>
      <c r="J367" t="s">
        <v>67</v>
      </c>
      <c r="K367">
        <v>6</v>
      </c>
      <c r="L367">
        <v>9</v>
      </c>
      <c r="M367">
        <v>2</v>
      </c>
      <c r="N367">
        <v>3</v>
      </c>
      <c r="O367">
        <v>25</v>
      </c>
      <c r="P367">
        <v>17</v>
      </c>
      <c r="Q367">
        <v>5</v>
      </c>
      <c r="R367">
        <v>3</v>
      </c>
      <c r="S367">
        <v>6</v>
      </c>
      <c r="T367">
        <v>3</v>
      </c>
      <c r="U367">
        <v>1</v>
      </c>
      <c r="V367">
        <v>0</v>
      </c>
      <c r="W367">
        <v>4.33</v>
      </c>
      <c r="X367">
        <v>3.6</v>
      </c>
      <c r="Y367">
        <v>1.8</v>
      </c>
      <c r="Z367">
        <v>4.2</v>
      </c>
      <c r="AA367">
        <v>3.85</v>
      </c>
      <c r="AB367">
        <v>1.75</v>
      </c>
      <c r="AC367">
        <v>3.6</v>
      </c>
      <c r="AD367">
        <v>3.6</v>
      </c>
      <c r="AE367">
        <v>1.9</v>
      </c>
      <c r="AF367">
        <v>4.33</v>
      </c>
      <c r="AG367">
        <v>3.6</v>
      </c>
      <c r="AH367">
        <v>1.8</v>
      </c>
      <c r="AI367">
        <v>4.46</v>
      </c>
      <c r="AJ367">
        <v>3.97</v>
      </c>
      <c r="AK367">
        <v>1.84</v>
      </c>
      <c r="AL367">
        <v>4.33</v>
      </c>
      <c r="AM367">
        <v>3.4</v>
      </c>
      <c r="AN367">
        <v>1.85</v>
      </c>
      <c r="AO367">
        <v>4.33</v>
      </c>
      <c r="AP367">
        <v>3.6</v>
      </c>
      <c r="AQ367">
        <v>1.8</v>
      </c>
      <c r="AR367">
        <v>4.5</v>
      </c>
      <c r="AS367">
        <v>3.75</v>
      </c>
      <c r="AT367">
        <v>1.83</v>
      </c>
      <c r="AU367">
        <v>51</v>
      </c>
      <c r="AV367">
        <v>4.6100000000000003</v>
      </c>
      <c r="AW367">
        <v>4.24</v>
      </c>
      <c r="AX367">
        <v>4</v>
      </c>
      <c r="AY367">
        <v>3.7</v>
      </c>
      <c r="AZ367">
        <v>1.9</v>
      </c>
      <c r="BA367">
        <v>1.8</v>
      </c>
      <c r="BB367">
        <v>39</v>
      </c>
      <c r="BC367">
        <v>1.68</v>
      </c>
      <c r="BD367">
        <v>1.62</v>
      </c>
      <c r="BE367">
        <v>2.48</v>
      </c>
      <c r="BF367">
        <v>2.25</v>
      </c>
      <c r="BG367">
        <v>25</v>
      </c>
      <c r="BH367">
        <v>0.5</v>
      </c>
      <c r="BI367">
        <v>2.14</v>
      </c>
      <c r="BJ367">
        <v>2.0499999999999998</v>
      </c>
      <c r="BK367">
        <v>1.85</v>
      </c>
      <c r="BL367">
        <v>1.79</v>
      </c>
      <c r="BM367">
        <v>5.5</v>
      </c>
      <c r="BN367">
        <v>4.71</v>
      </c>
      <c r="BO367">
        <v>1.6</v>
      </c>
    </row>
    <row r="368" spans="1:67">
      <c r="A368" t="s">
        <v>63</v>
      </c>
      <c r="B368" s="77">
        <v>41770</v>
      </c>
      <c r="C368" t="s">
        <v>78</v>
      </c>
      <c r="D368" t="s">
        <v>65</v>
      </c>
      <c r="E368">
        <v>0</v>
      </c>
      <c r="F368">
        <v>1</v>
      </c>
      <c r="G368" t="s">
        <v>66</v>
      </c>
      <c r="H368">
        <v>0</v>
      </c>
      <c r="I368">
        <v>0</v>
      </c>
      <c r="J368" t="s">
        <v>67</v>
      </c>
      <c r="K368">
        <v>18</v>
      </c>
      <c r="L368">
        <v>11</v>
      </c>
      <c r="M368">
        <v>7</v>
      </c>
      <c r="N368">
        <v>5</v>
      </c>
      <c r="O368">
        <v>21</v>
      </c>
      <c r="P368">
        <v>14</v>
      </c>
      <c r="Q368">
        <v>5</v>
      </c>
      <c r="R368">
        <v>5</v>
      </c>
      <c r="S368">
        <v>4</v>
      </c>
      <c r="T368">
        <v>1</v>
      </c>
      <c r="U368">
        <v>0</v>
      </c>
      <c r="V368">
        <v>0</v>
      </c>
      <c r="W368">
        <v>2.4</v>
      </c>
      <c r="X368">
        <v>3.4</v>
      </c>
      <c r="Y368">
        <v>2.8</v>
      </c>
      <c r="Z368">
        <v>2.4</v>
      </c>
      <c r="AA368">
        <v>3.4</v>
      </c>
      <c r="AB368">
        <v>2.8</v>
      </c>
      <c r="AC368">
        <v>2.2999999999999998</v>
      </c>
      <c r="AD368">
        <v>3.4</v>
      </c>
      <c r="AE368">
        <v>2.8</v>
      </c>
      <c r="AF368">
        <v>2.5</v>
      </c>
      <c r="AG368">
        <v>3.4</v>
      </c>
      <c r="AH368">
        <v>2.7</v>
      </c>
      <c r="AI368">
        <v>2.44</v>
      </c>
      <c r="AJ368">
        <v>3.48</v>
      </c>
      <c r="AK368">
        <v>3.09</v>
      </c>
      <c r="AL368">
        <v>2.5</v>
      </c>
      <c r="AM368">
        <v>3.2</v>
      </c>
      <c r="AN368">
        <v>2.8</v>
      </c>
      <c r="AO368">
        <v>2.38</v>
      </c>
      <c r="AP368">
        <v>3.4</v>
      </c>
      <c r="AQ368">
        <v>2.8</v>
      </c>
      <c r="AR368">
        <v>2.4500000000000002</v>
      </c>
      <c r="AS368">
        <v>3.4</v>
      </c>
      <c r="AT368">
        <v>3.1</v>
      </c>
      <c r="AU368">
        <v>50</v>
      </c>
      <c r="AV368">
        <v>2.5</v>
      </c>
      <c r="AW368">
        <v>2.41</v>
      </c>
      <c r="AX368">
        <v>3.5</v>
      </c>
      <c r="AY368">
        <v>3.37</v>
      </c>
      <c r="AZ368">
        <v>3.13</v>
      </c>
      <c r="BA368">
        <v>2.88</v>
      </c>
      <c r="BB368">
        <v>43</v>
      </c>
      <c r="BC368">
        <v>1.9</v>
      </c>
      <c r="BD368">
        <v>1.81</v>
      </c>
      <c r="BE368">
        <v>2.15</v>
      </c>
      <c r="BF368">
        <v>1.99</v>
      </c>
      <c r="BG368">
        <v>23</v>
      </c>
      <c r="BH368">
        <v>-0.25</v>
      </c>
      <c r="BI368">
        <v>2.12</v>
      </c>
      <c r="BJ368">
        <v>2.08</v>
      </c>
      <c r="BK368">
        <v>1.85</v>
      </c>
      <c r="BL368">
        <v>1.8</v>
      </c>
      <c r="BM368">
        <v>2.35</v>
      </c>
      <c r="BN368">
        <v>3.58</v>
      </c>
      <c r="BO368">
        <v>3.17</v>
      </c>
    </row>
    <row r="369" spans="1:67">
      <c r="A369" t="s">
        <v>63</v>
      </c>
      <c r="B369" s="77">
        <v>41770</v>
      </c>
      <c r="C369" t="s">
        <v>64</v>
      </c>
      <c r="D369" t="s">
        <v>79</v>
      </c>
      <c r="E369">
        <v>2</v>
      </c>
      <c r="F369">
        <v>5</v>
      </c>
      <c r="G369" t="s">
        <v>66</v>
      </c>
      <c r="H369">
        <v>1</v>
      </c>
      <c r="I369">
        <v>3</v>
      </c>
      <c r="J369" t="s">
        <v>66</v>
      </c>
      <c r="K369">
        <v>28</v>
      </c>
      <c r="L369">
        <v>9</v>
      </c>
      <c r="M369">
        <v>10</v>
      </c>
      <c r="N369">
        <v>5</v>
      </c>
      <c r="O369">
        <v>11</v>
      </c>
      <c r="P369">
        <v>12</v>
      </c>
      <c r="Q369">
        <v>6</v>
      </c>
      <c r="R369">
        <v>3</v>
      </c>
      <c r="S369">
        <v>1</v>
      </c>
      <c r="T369">
        <v>0</v>
      </c>
      <c r="U369">
        <v>0</v>
      </c>
      <c r="V369">
        <v>0</v>
      </c>
      <c r="W369">
        <v>3.3</v>
      </c>
      <c r="X369">
        <v>3.4</v>
      </c>
      <c r="Y369">
        <v>2.15</v>
      </c>
      <c r="Z369">
        <v>3.35</v>
      </c>
      <c r="AA369">
        <v>3.4</v>
      </c>
      <c r="AB369">
        <v>2.1</v>
      </c>
      <c r="AC369">
        <v>2.9</v>
      </c>
      <c r="AD369">
        <v>3.3</v>
      </c>
      <c r="AE369">
        <v>2.2999999999999998</v>
      </c>
      <c r="AF369">
        <v>3.2</v>
      </c>
      <c r="AG369">
        <v>3.4</v>
      </c>
      <c r="AH369">
        <v>2.2000000000000002</v>
      </c>
      <c r="AI369">
        <v>3.47</v>
      </c>
      <c r="AJ369">
        <v>3.61</v>
      </c>
      <c r="AK369">
        <v>2.2000000000000002</v>
      </c>
      <c r="AL369">
        <v>3.3</v>
      </c>
      <c r="AM369">
        <v>3.3</v>
      </c>
      <c r="AN369">
        <v>2.2000000000000002</v>
      </c>
      <c r="AO369">
        <v>3.25</v>
      </c>
      <c r="AP369">
        <v>3.3</v>
      </c>
      <c r="AQ369">
        <v>2.1</v>
      </c>
      <c r="AR369">
        <v>3.6</v>
      </c>
      <c r="AS369">
        <v>3.4</v>
      </c>
      <c r="AT369">
        <v>2.2000000000000002</v>
      </c>
      <c r="AU369">
        <v>51</v>
      </c>
      <c r="AV369">
        <v>3.6</v>
      </c>
      <c r="AW369">
        <v>3.33</v>
      </c>
      <c r="AX369">
        <v>3.62</v>
      </c>
      <c r="AY369">
        <v>3.41</v>
      </c>
      <c r="AZ369">
        <v>2.2999999999999998</v>
      </c>
      <c r="BA369">
        <v>2.14</v>
      </c>
      <c r="BB369">
        <v>45</v>
      </c>
      <c r="BC369">
        <v>1.79</v>
      </c>
      <c r="BD369">
        <v>1.72</v>
      </c>
      <c r="BE369">
        <v>2.2000000000000002</v>
      </c>
      <c r="BF369">
        <v>2.1</v>
      </c>
      <c r="BG369">
        <v>22</v>
      </c>
      <c r="BH369">
        <v>0.5</v>
      </c>
      <c r="BI369">
        <v>1.79</v>
      </c>
      <c r="BJ369">
        <v>1.73</v>
      </c>
      <c r="BK369">
        <v>2.19</v>
      </c>
      <c r="BL369">
        <v>2.13</v>
      </c>
      <c r="BM369">
        <v>3.37</v>
      </c>
      <c r="BN369">
        <v>3.89</v>
      </c>
      <c r="BO369">
        <v>2.14</v>
      </c>
    </row>
    <row r="370" spans="1:67">
      <c r="A370" t="s">
        <v>63</v>
      </c>
      <c r="B370" s="77">
        <v>41770</v>
      </c>
      <c r="C370" t="s">
        <v>84</v>
      </c>
      <c r="D370" t="s">
        <v>74</v>
      </c>
      <c r="E370">
        <v>4</v>
      </c>
      <c r="F370">
        <v>2</v>
      </c>
      <c r="G370" t="s">
        <v>70</v>
      </c>
      <c r="H370">
        <v>1</v>
      </c>
      <c r="I370">
        <v>1</v>
      </c>
      <c r="J370" t="s">
        <v>67</v>
      </c>
      <c r="K370">
        <v>20</v>
      </c>
      <c r="L370">
        <v>8</v>
      </c>
      <c r="M370">
        <v>10</v>
      </c>
      <c r="N370">
        <v>3</v>
      </c>
      <c r="O370">
        <v>12</v>
      </c>
      <c r="P370">
        <v>20</v>
      </c>
      <c r="Q370">
        <v>8</v>
      </c>
      <c r="R370">
        <v>2</v>
      </c>
      <c r="S370">
        <v>2</v>
      </c>
      <c r="T370">
        <v>5</v>
      </c>
      <c r="U370">
        <v>0</v>
      </c>
      <c r="V370">
        <v>0</v>
      </c>
      <c r="W370">
        <v>1.53</v>
      </c>
      <c r="X370">
        <v>3.8</v>
      </c>
      <c r="Y370">
        <v>6.5</v>
      </c>
      <c r="Z370">
        <v>1.45</v>
      </c>
      <c r="AA370">
        <v>4.25</v>
      </c>
      <c r="AB370">
        <v>6.9</v>
      </c>
      <c r="AC370">
        <v>1.5</v>
      </c>
      <c r="AD370">
        <v>4</v>
      </c>
      <c r="AE370">
        <v>6</v>
      </c>
      <c r="AF370">
        <v>1.53</v>
      </c>
      <c r="AG370">
        <v>4</v>
      </c>
      <c r="AH370">
        <v>6</v>
      </c>
      <c r="AI370">
        <v>1.53</v>
      </c>
      <c r="AJ370">
        <v>4.45</v>
      </c>
      <c r="AK370">
        <v>7.02</v>
      </c>
      <c r="AL370">
        <v>1.53</v>
      </c>
      <c r="AM370">
        <v>3.75</v>
      </c>
      <c r="AN370">
        <v>7</v>
      </c>
      <c r="AO370">
        <v>1.53</v>
      </c>
      <c r="AP370">
        <v>3.8</v>
      </c>
      <c r="AQ370">
        <v>6</v>
      </c>
      <c r="AR370">
        <v>1.55</v>
      </c>
      <c r="AS370">
        <v>4</v>
      </c>
      <c r="AT370">
        <v>7</v>
      </c>
      <c r="AU370">
        <v>51</v>
      </c>
      <c r="AV370">
        <v>1.56</v>
      </c>
      <c r="AW370">
        <v>1.52</v>
      </c>
      <c r="AX370">
        <v>4.5</v>
      </c>
      <c r="AY370">
        <v>4.0199999999999996</v>
      </c>
      <c r="AZ370">
        <v>8.1999999999999993</v>
      </c>
      <c r="BA370">
        <v>6.44</v>
      </c>
      <c r="BB370">
        <v>44</v>
      </c>
      <c r="BC370">
        <v>1.76</v>
      </c>
      <c r="BD370">
        <v>1.7</v>
      </c>
      <c r="BE370">
        <v>2.3199999999999998</v>
      </c>
      <c r="BF370">
        <v>2.12</v>
      </c>
      <c r="BG370">
        <v>25</v>
      </c>
      <c r="BH370">
        <v>-1</v>
      </c>
      <c r="BI370">
        <v>1.97</v>
      </c>
      <c r="BJ370">
        <v>1.91</v>
      </c>
      <c r="BK370">
        <v>2.1</v>
      </c>
      <c r="BL370">
        <v>1.94</v>
      </c>
      <c r="BM370">
        <v>1.63</v>
      </c>
      <c r="BN370">
        <v>4.2699999999999996</v>
      </c>
      <c r="BO370">
        <v>5.88</v>
      </c>
    </row>
    <row r="371" spans="1:67">
      <c r="A371" t="s">
        <v>63</v>
      </c>
      <c r="B371" s="77">
        <v>41770</v>
      </c>
      <c r="C371" t="s">
        <v>83</v>
      </c>
      <c r="D371" t="s">
        <v>81</v>
      </c>
      <c r="E371">
        <v>1</v>
      </c>
      <c r="F371">
        <v>1</v>
      </c>
      <c r="G371" t="s">
        <v>67</v>
      </c>
      <c r="H371">
        <v>1</v>
      </c>
      <c r="I371">
        <v>0</v>
      </c>
      <c r="J371" t="s">
        <v>70</v>
      </c>
      <c r="K371">
        <v>16</v>
      </c>
      <c r="L371">
        <v>18</v>
      </c>
      <c r="M371">
        <v>1</v>
      </c>
      <c r="N371">
        <v>4</v>
      </c>
      <c r="O371">
        <v>7</v>
      </c>
      <c r="P371">
        <v>14</v>
      </c>
      <c r="Q371">
        <v>5</v>
      </c>
      <c r="R371">
        <v>3</v>
      </c>
      <c r="S371">
        <v>2</v>
      </c>
      <c r="T371">
        <v>2</v>
      </c>
      <c r="U371">
        <v>1</v>
      </c>
      <c r="V371">
        <v>1</v>
      </c>
      <c r="W371">
        <v>2.1</v>
      </c>
      <c r="X371">
        <v>3.5</v>
      </c>
      <c r="Y371">
        <v>3.3</v>
      </c>
      <c r="Z371">
        <v>2.0499999999999998</v>
      </c>
      <c r="AA371">
        <v>3.5</v>
      </c>
      <c r="AB371">
        <v>3.4</v>
      </c>
      <c r="AC371">
        <v>2.1</v>
      </c>
      <c r="AD371">
        <v>3.3</v>
      </c>
      <c r="AE371">
        <v>3.3</v>
      </c>
      <c r="AF371">
        <v>2.1</v>
      </c>
      <c r="AG371">
        <v>3.3</v>
      </c>
      <c r="AH371">
        <v>3.5</v>
      </c>
      <c r="AI371">
        <v>2.12</v>
      </c>
      <c r="AJ371">
        <v>3.62</v>
      </c>
      <c r="AK371">
        <v>3.69</v>
      </c>
      <c r="AL371">
        <v>2.0499999999999998</v>
      </c>
      <c r="AM371">
        <v>3.6</v>
      </c>
      <c r="AN371">
        <v>3.4</v>
      </c>
      <c r="AO371">
        <v>2.0499999999999998</v>
      </c>
      <c r="AP371">
        <v>3.25</v>
      </c>
      <c r="AQ371">
        <v>3.5</v>
      </c>
      <c r="AR371">
        <v>2.1</v>
      </c>
      <c r="AS371">
        <v>3.5</v>
      </c>
      <c r="AT371">
        <v>3.75</v>
      </c>
      <c r="AU371">
        <v>51</v>
      </c>
      <c r="AV371">
        <v>2.2000000000000002</v>
      </c>
      <c r="AW371">
        <v>2.09</v>
      </c>
      <c r="AX371">
        <v>3.66</v>
      </c>
      <c r="AY371">
        <v>3.41</v>
      </c>
      <c r="AZ371">
        <v>3.7</v>
      </c>
      <c r="BA371">
        <v>3.46</v>
      </c>
      <c r="BB371">
        <v>45</v>
      </c>
      <c r="BC371">
        <v>1.85</v>
      </c>
      <c r="BD371">
        <v>1.73</v>
      </c>
      <c r="BE371">
        <v>2.2000000000000002</v>
      </c>
      <c r="BF371">
        <v>2.0699999999999998</v>
      </c>
      <c r="BG371">
        <v>22</v>
      </c>
      <c r="BH371">
        <v>-0.5</v>
      </c>
      <c r="BI371">
        <v>2.14</v>
      </c>
      <c r="BJ371">
        <v>2.08</v>
      </c>
      <c r="BK371">
        <v>1.83</v>
      </c>
      <c r="BL371">
        <v>1.76</v>
      </c>
      <c r="BM371">
        <v>2.3199999999999998</v>
      </c>
      <c r="BN371">
        <v>3.46</v>
      </c>
      <c r="BO371">
        <v>3.33</v>
      </c>
    </row>
    <row r="372" spans="1:67">
      <c r="A372" t="s">
        <v>63</v>
      </c>
      <c r="B372" s="77">
        <v>41776</v>
      </c>
      <c r="C372" t="s">
        <v>76</v>
      </c>
      <c r="D372" t="s">
        <v>64</v>
      </c>
      <c r="E372">
        <v>3</v>
      </c>
      <c r="F372">
        <v>3</v>
      </c>
      <c r="G372" t="s">
        <v>67</v>
      </c>
      <c r="H372">
        <v>2</v>
      </c>
      <c r="I372">
        <v>1</v>
      </c>
      <c r="J372" t="s">
        <v>70</v>
      </c>
      <c r="K372">
        <v>22</v>
      </c>
      <c r="L372">
        <v>15</v>
      </c>
      <c r="M372">
        <v>12</v>
      </c>
      <c r="N372">
        <v>4</v>
      </c>
      <c r="O372">
        <v>15</v>
      </c>
      <c r="P372">
        <v>11</v>
      </c>
      <c r="Q372">
        <v>6</v>
      </c>
      <c r="R372">
        <v>5</v>
      </c>
      <c r="S372">
        <v>3</v>
      </c>
      <c r="T372">
        <v>2</v>
      </c>
      <c r="U372">
        <v>0</v>
      </c>
      <c r="V372">
        <v>0</v>
      </c>
      <c r="W372">
        <v>1.73</v>
      </c>
      <c r="X372">
        <v>3.8</v>
      </c>
      <c r="Y372">
        <v>4.5</v>
      </c>
      <c r="Z372">
        <v>1.72</v>
      </c>
      <c r="AA372">
        <v>3.75</v>
      </c>
      <c r="AB372">
        <v>4.5</v>
      </c>
      <c r="AC372">
        <v>1.7</v>
      </c>
      <c r="AD372">
        <v>3.7</v>
      </c>
      <c r="AE372">
        <v>4.5</v>
      </c>
      <c r="AF372">
        <v>1.8</v>
      </c>
      <c r="AG372">
        <v>3.75</v>
      </c>
      <c r="AH372">
        <v>4.2</v>
      </c>
      <c r="AI372">
        <v>1.79</v>
      </c>
      <c r="AJ372">
        <v>4.05</v>
      </c>
      <c r="AK372">
        <v>4.63</v>
      </c>
      <c r="AL372">
        <v>1.75</v>
      </c>
      <c r="AM372">
        <v>4</v>
      </c>
      <c r="AN372">
        <v>4.2</v>
      </c>
      <c r="AO372">
        <v>1.73</v>
      </c>
      <c r="AP372">
        <v>3.5</v>
      </c>
      <c r="AQ372">
        <v>4.5</v>
      </c>
      <c r="AR372">
        <v>1.75</v>
      </c>
      <c r="AS372">
        <v>4</v>
      </c>
      <c r="AT372">
        <v>4.75</v>
      </c>
      <c r="AU372">
        <v>52</v>
      </c>
      <c r="AV372">
        <v>1.8</v>
      </c>
      <c r="AW372">
        <v>1.76</v>
      </c>
      <c r="AX372">
        <v>4.05</v>
      </c>
      <c r="AY372">
        <v>3.76</v>
      </c>
      <c r="AZ372">
        <v>4.8</v>
      </c>
      <c r="BA372">
        <v>4.41</v>
      </c>
      <c r="BB372">
        <v>38</v>
      </c>
      <c r="BC372">
        <v>1.63</v>
      </c>
      <c r="BD372">
        <v>1.55</v>
      </c>
      <c r="BE372">
        <v>2.58</v>
      </c>
      <c r="BF372">
        <v>2.38</v>
      </c>
      <c r="BG372">
        <v>22</v>
      </c>
      <c r="BH372">
        <v>-0.75</v>
      </c>
      <c r="BI372">
        <v>2.0099999999999998</v>
      </c>
      <c r="BJ372">
        <v>1.96</v>
      </c>
      <c r="BK372">
        <v>1.96</v>
      </c>
      <c r="BL372">
        <v>1.91</v>
      </c>
      <c r="BM372">
        <v>2.09</v>
      </c>
      <c r="BN372">
        <v>3.61</v>
      </c>
      <c r="BO372">
        <v>3.79</v>
      </c>
    </row>
    <row r="373" spans="1:67">
      <c r="A373" t="s">
        <v>63</v>
      </c>
      <c r="B373" s="77">
        <v>41777</v>
      </c>
      <c r="C373" t="s">
        <v>86</v>
      </c>
      <c r="D373" t="s">
        <v>72</v>
      </c>
      <c r="E373">
        <v>2</v>
      </c>
      <c r="F373">
        <v>1</v>
      </c>
      <c r="G373" t="s">
        <v>70</v>
      </c>
      <c r="H373">
        <v>0</v>
      </c>
      <c r="I373">
        <v>0</v>
      </c>
      <c r="J373" t="s">
        <v>67</v>
      </c>
      <c r="K373">
        <v>23</v>
      </c>
      <c r="L373">
        <v>19</v>
      </c>
      <c r="M373">
        <v>9</v>
      </c>
      <c r="N373">
        <v>9</v>
      </c>
      <c r="O373">
        <v>9</v>
      </c>
      <c r="P373">
        <v>8</v>
      </c>
      <c r="Q373">
        <v>5</v>
      </c>
      <c r="R373">
        <v>4</v>
      </c>
      <c r="S373">
        <v>1</v>
      </c>
      <c r="T373">
        <v>2</v>
      </c>
      <c r="U373">
        <v>0</v>
      </c>
      <c r="V373">
        <v>0</v>
      </c>
      <c r="W373">
        <v>2.25</v>
      </c>
      <c r="X373">
        <v>3.4</v>
      </c>
      <c r="Y373">
        <v>3.1</v>
      </c>
      <c r="Z373">
        <v>2.15</v>
      </c>
      <c r="AA373">
        <v>3.5</v>
      </c>
      <c r="AB373">
        <v>3.15</v>
      </c>
      <c r="AC373">
        <v>2.2999999999999998</v>
      </c>
      <c r="AD373">
        <v>3.3</v>
      </c>
      <c r="AE373">
        <v>2.9</v>
      </c>
      <c r="AF373">
        <v>2.2999999999999998</v>
      </c>
      <c r="AG373">
        <v>3.4</v>
      </c>
      <c r="AH373">
        <v>3</v>
      </c>
      <c r="AI373">
        <v>2.2000000000000002</v>
      </c>
      <c r="AJ373">
        <v>3.63</v>
      </c>
      <c r="AK373">
        <v>3.44</v>
      </c>
      <c r="AL373">
        <v>2.15</v>
      </c>
      <c r="AM373">
        <v>3.6</v>
      </c>
      <c r="AN373">
        <v>3.2</v>
      </c>
      <c r="AO373">
        <v>2.2000000000000002</v>
      </c>
      <c r="AP373">
        <v>3.3</v>
      </c>
      <c r="AQ373">
        <v>3.2</v>
      </c>
      <c r="AR373">
        <v>2.2000000000000002</v>
      </c>
      <c r="AS373">
        <v>3.6</v>
      </c>
      <c r="AT373">
        <v>3.5</v>
      </c>
      <c r="AU373">
        <v>52</v>
      </c>
      <c r="AV373">
        <v>2.2999999999999998</v>
      </c>
      <c r="AW373">
        <v>2.17</v>
      </c>
      <c r="AX373">
        <v>3.7</v>
      </c>
      <c r="AY373">
        <v>3.43</v>
      </c>
      <c r="AZ373">
        <v>3.55</v>
      </c>
      <c r="BA373">
        <v>3.23</v>
      </c>
      <c r="BB373">
        <v>38</v>
      </c>
      <c r="BC373">
        <v>1.7</v>
      </c>
      <c r="BD373">
        <v>1.63</v>
      </c>
      <c r="BE373">
        <v>2.54</v>
      </c>
      <c r="BF373">
        <v>2.2200000000000002</v>
      </c>
      <c r="BG373">
        <v>22</v>
      </c>
      <c r="BH373">
        <v>-0.25</v>
      </c>
      <c r="BI373">
        <v>1.97</v>
      </c>
      <c r="BJ373">
        <v>1.88</v>
      </c>
      <c r="BK373">
        <v>2.08</v>
      </c>
      <c r="BL373">
        <v>1.99</v>
      </c>
      <c r="BM373">
        <v>2.0699999999999998</v>
      </c>
      <c r="BN373">
        <v>3.78</v>
      </c>
      <c r="BO373">
        <v>3.67</v>
      </c>
    </row>
    <row r="374" spans="1:67">
      <c r="A374" t="s">
        <v>63</v>
      </c>
      <c r="B374" s="77">
        <v>41777</v>
      </c>
      <c r="C374" t="s">
        <v>82</v>
      </c>
      <c r="D374" t="s">
        <v>73</v>
      </c>
      <c r="E374">
        <v>2</v>
      </c>
      <c r="F374">
        <v>1</v>
      </c>
      <c r="G374" t="s">
        <v>70</v>
      </c>
      <c r="H374">
        <v>0</v>
      </c>
      <c r="I374">
        <v>1</v>
      </c>
      <c r="J374" t="s">
        <v>66</v>
      </c>
      <c r="K374">
        <v>13</v>
      </c>
      <c r="L374">
        <v>14</v>
      </c>
      <c r="M374">
        <v>4</v>
      </c>
      <c r="N374">
        <v>3</v>
      </c>
      <c r="O374">
        <v>16</v>
      </c>
      <c r="P374">
        <v>14</v>
      </c>
      <c r="Q374">
        <v>7</v>
      </c>
      <c r="R374">
        <v>3</v>
      </c>
      <c r="S374">
        <v>2</v>
      </c>
      <c r="T374">
        <v>1</v>
      </c>
      <c r="U374">
        <v>0</v>
      </c>
      <c r="V374">
        <v>0</v>
      </c>
      <c r="W374">
        <v>4</v>
      </c>
      <c r="X374">
        <v>3.3</v>
      </c>
      <c r="Y374">
        <v>1.95</v>
      </c>
      <c r="Z374">
        <v>3.9</v>
      </c>
      <c r="AA374">
        <v>3.5</v>
      </c>
      <c r="AB374">
        <v>1.9</v>
      </c>
      <c r="AC374">
        <v>3.3</v>
      </c>
      <c r="AD374">
        <v>3.3</v>
      </c>
      <c r="AE374">
        <v>2.1</v>
      </c>
      <c r="AF374">
        <v>3.75</v>
      </c>
      <c r="AG374">
        <v>3.5</v>
      </c>
      <c r="AH374">
        <v>1.95</v>
      </c>
      <c r="AI374">
        <v>4.33</v>
      </c>
      <c r="AJ374">
        <v>3.58</v>
      </c>
      <c r="AK374">
        <v>1.96</v>
      </c>
      <c r="AL374">
        <v>4</v>
      </c>
      <c r="AM374">
        <v>3.4</v>
      </c>
      <c r="AN374">
        <v>1.95</v>
      </c>
      <c r="AO374">
        <v>4</v>
      </c>
      <c r="AP374">
        <v>3.4</v>
      </c>
      <c r="AQ374">
        <v>1.9</v>
      </c>
      <c r="AR374">
        <v>4.2</v>
      </c>
      <c r="AS374">
        <v>3.5</v>
      </c>
      <c r="AT374">
        <v>1.95</v>
      </c>
      <c r="AU374">
        <v>52</v>
      </c>
      <c r="AV374">
        <v>4.3499999999999996</v>
      </c>
      <c r="AW374">
        <v>4</v>
      </c>
      <c r="AX374">
        <v>3.6</v>
      </c>
      <c r="AY374">
        <v>3.41</v>
      </c>
      <c r="AZ374">
        <v>2.1</v>
      </c>
      <c r="BA374">
        <v>1.93</v>
      </c>
      <c r="BB374">
        <v>44</v>
      </c>
      <c r="BC374">
        <v>1.83</v>
      </c>
      <c r="BD374">
        <v>1.75</v>
      </c>
      <c r="BE374">
        <v>2.2200000000000002</v>
      </c>
      <c r="BF374">
        <v>2.04</v>
      </c>
      <c r="BG374">
        <v>23</v>
      </c>
      <c r="BH374">
        <v>0.5</v>
      </c>
      <c r="BI374">
        <v>1.99</v>
      </c>
      <c r="BJ374">
        <v>1.94</v>
      </c>
      <c r="BK374">
        <v>1.95</v>
      </c>
      <c r="BL374">
        <v>1.92</v>
      </c>
      <c r="BM374">
        <v>3.69</v>
      </c>
      <c r="BN374">
        <v>3.58</v>
      </c>
      <c r="BO374">
        <v>2.12</v>
      </c>
    </row>
    <row r="375" spans="1:67">
      <c r="A375" t="s">
        <v>63</v>
      </c>
      <c r="B375" s="77">
        <v>41777</v>
      </c>
      <c r="C375" t="s">
        <v>85</v>
      </c>
      <c r="D375" t="s">
        <v>83</v>
      </c>
      <c r="E375">
        <v>2</v>
      </c>
      <c r="F375">
        <v>2</v>
      </c>
      <c r="G375" t="s">
        <v>67</v>
      </c>
      <c r="H375">
        <v>0</v>
      </c>
      <c r="I375">
        <v>0</v>
      </c>
      <c r="J375" t="s">
        <v>67</v>
      </c>
      <c r="K375">
        <v>15</v>
      </c>
      <c r="L375">
        <v>15</v>
      </c>
      <c r="M375">
        <v>8</v>
      </c>
      <c r="N375">
        <v>5</v>
      </c>
      <c r="O375">
        <v>15</v>
      </c>
      <c r="P375">
        <v>11</v>
      </c>
      <c r="Q375">
        <v>7</v>
      </c>
      <c r="R375">
        <v>6</v>
      </c>
      <c r="S375">
        <v>5</v>
      </c>
      <c r="T375">
        <v>2</v>
      </c>
      <c r="U375">
        <v>0</v>
      </c>
      <c r="V375">
        <v>0</v>
      </c>
      <c r="W375">
        <v>3.6</v>
      </c>
      <c r="X375">
        <v>3.6</v>
      </c>
      <c r="Y375">
        <v>1.95</v>
      </c>
      <c r="Z375">
        <v>3.65</v>
      </c>
      <c r="AA375">
        <v>3.9</v>
      </c>
      <c r="AB375">
        <v>1.85</v>
      </c>
      <c r="AC375">
        <v>3.4</v>
      </c>
      <c r="AD375">
        <v>3.9</v>
      </c>
      <c r="AE375">
        <v>1.85</v>
      </c>
      <c r="AF375">
        <v>3.5</v>
      </c>
      <c r="AG375">
        <v>3.75</v>
      </c>
      <c r="AH375">
        <v>1.95</v>
      </c>
      <c r="AI375">
        <v>3.84</v>
      </c>
      <c r="AJ375">
        <v>4.08</v>
      </c>
      <c r="AK375">
        <v>1.94</v>
      </c>
      <c r="AL375">
        <v>3.75</v>
      </c>
      <c r="AM375">
        <v>4</v>
      </c>
      <c r="AN375">
        <v>1.85</v>
      </c>
      <c r="AO375">
        <v>3.6</v>
      </c>
      <c r="AP375">
        <v>3.6</v>
      </c>
      <c r="AQ375">
        <v>1.9</v>
      </c>
      <c r="AR375">
        <v>3.9</v>
      </c>
      <c r="AS375">
        <v>3.9</v>
      </c>
      <c r="AT375">
        <v>1.95</v>
      </c>
      <c r="AU375">
        <v>52</v>
      </c>
      <c r="AV375">
        <v>4</v>
      </c>
      <c r="AW375">
        <v>3.68</v>
      </c>
      <c r="AX375">
        <v>4.0999999999999996</v>
      </c>
      <c r="AY375">
        <v>3.77</v>
      </c>
      <c r="AZ375">
        <v>1.96</v>
      </c>
      <c r="BA375">
        <v>1.9</v>
      </c>
      <c r="BB375">
        <v>38</v>
      </c>
      <c r="BC375">
        <v>1.62</v>
      </c>
      <c r="BD375">
        <v>1.56</v>
      </c>
      <c r="BE375">
        <v>2.68</v>
      </c>
      <c r="BF375">
        <v>2.33</v>
      </c>
      <c r="BG375">
        <v>23</v>
      </c>
      <c r="BH375">
        <v>0.5</v>
      </c>
      <c r="BI375">
        <v>2</v>
      </c>
      <c r="BJ375">
        <v>1.94</v>
      </c>
      <c r="BK375">
        <v>1.97</v>
      </c>
      <c r="BL375">
        <v>1.91</v>
      </c>
      <c r="BM375">
        <v>2.81</v>
      </c>
      <c r="BN375">
        <v>3.71</v>
      </c>
      <c r="BO375">
        <v>2.4900000000000002</v>
      </c>
    </row>
    <row r="376" spans="1:67">
      <c r="A376" t="s">
        <v>63</v>
      </c>
      <c r="B376" s="77">
        <v>41777</v>
      </c>
      <c r="C376" t="s">
        <v>74</v>
      </c>
      <c r="D376" t="s">
        <v>78</v>
      </c>
      <c r="E376">
        <v>1</v>
      </c>
      <c r="F376">
        <v>0</v>
      </c>
      <c r="G376" t="s">
        <v>70</v>
      </c>
      <c r="H376">
        <v>0</v>
      </c>
      <c r="I376">
        <v>0</v>
      </c>
      <c r="J376" t="s">
        <v>67</v>
      </c>
      <c r="K376">
        <v>7</v>
      </c>
      <c r="L376">
        <v>11</v>
      </c>
      <c r="M376">
        <v>3</v>
      </c>
      <c r="N376">
        <v>4</v>
      </c>
      <c r="O376">
        <v>15</v>
      </c>
      <c r="P376">
        <v>9</v>
      </c>
      <c r="Q376">
        <v>4</v>
      </c>
      <c r="R376">
        <v>5</v>
      </c>
      <c r="S376">
        <v>0</v>
      </c>
      <c r="T376">
        <v>1</v>
      </c>
      <c r="U376">
        <v>0</v>
      </c>
      <c r="V376">
        <v>0</v>
      </c>
      <c r="W376">
        <v>4.5</v>
      </c>
      <c r="X376">
        <v>3.8</v>
      </c>
      <c r="Y376">
        <v>1.73</v>
      </c>
      <c r="Z376">
        <v>4.5999999999999996</v>
      </c>
      <c r="AA376">
        <v>3.8</v>
      </c>
      <c r="AB376">
        <v>1.7</v>
      </c>
      <c r="AC376">
        <v>4</v>
      </c>
      <c r="AD376">
        <v>3.6</v>
      </c>
      <c r="AE376">
        <v>1.8</v>
      </c>
      <c r="AF376">
        <v>4.2</v>
      </c>
      <c r="AG376">
        <v>3.75</v>
      </c>
      <c r="AH376">
        <v>1.8</v>
      </c>
      <c r="AI376">
        <v>4.99</v>
      </c>
      <c r="AJ376">
        <v>4.05</v>
      </c>
      <c r="AK376">
        <v>1.75</v>
      </c>
      <c r="AL376">
        <v>4.33</v>
      </c>
      <c r="AM376">
        <v>4</v>
      </c>
      <c r="AN376">
        <v>1.73</v>
      </c>
      <c r="AO376">
        <v>4.5</v>
      </c>
      <c r="AP376">
        <v>3.6</v>
      </c>
      <c r="AQ376">
        <v>1.73</v>
      </c>
      <c r="AR376">
        <v>5</v>
      </c>
      <c r="AS376">
        <v>4</v>
      </c>
      <c r="AT376">
        <v>1.75</v>
      </c>
      <c r="AU376">
        <v>52</v>
      </c>
      <c r="AV376">
        <v>5</v>
      </c>
      <c r="AW376">
        <v>4.59</v>
      </c>
      <c r="AX376">
        <v>4.0999999999999996</v>
      </c>
      <c r="AY376">
        <v>3.77</v>
      </c>
      <c r="AZ376">
        <v>1.8</v>
      </c>
      <c r="BA376">
        <v>1.73</v>
      </c>
      <c r="BB376">
        <v>38</v>
      </c>
      <c r="BC376">
        <v>1.63</v>
      </c>
      <c r="BD376">
        <v>1.57</v>
      </c>
      <c r="BE376">
        <v>2.58</v>
      </c>
      <c r="BF376">
        <v>2.33</v>
      </c>
      <c r="BG376">
        <v>22</v>
      </c>
      <c r="BH376">
        <v>0.75</v>
      </c>
      <c r="BI376">
        <v>1.99</v>
      </c>
      <c r="BJ376">
        <v>1.94</v>
      </c>
      <c r="BK376">
        <v>1.98</v>
      </c>
      <c r="BL376">
        <v>1.92</v>
      </c>
      <c r="BM376">
        <v>3.5</v>
      </c>
      <c r="BN376">
        <v>3.56</v>
      </c>
      <c r="BO376">
        <v>2.21</v>
      </c>
    </row>
    <row r="377" spans="1:67">
      <c r="A377" t="s">
        <v>63</v>
      </c>
      <c r="B377" s="77">
        <v>41777</v>
      </c>
      <c r="C377" t="s">
        <v>65</v>
      </c>
      <c r="D377" t="s">
        <v>71</v>
      </c>
      <c r="E377">
        <v>3</v>
      </c>
      <c r="F377">
        <v>0</v>
      </c>
      <c r="G377" t="s">
        <v>70</v>
      </c>
      <c r="H377">
        <v>3</v>
      </c>
      <c r="I377">
        <v>0</v>
      </c>
      <c r="J377" t="s">
        <v>70</v>
      </c>
      <c r="K377">
        <v>13</v>
      </c>
      <c r="L377">
        <v>7</v>
      </c>
      <c r="M377">
        <v>8</v>
      </c>
      <c r="N377">
        <v>2</v>
      </c>
      <c r="O377">
        <v>13</v>
      </c>
      <c r="P377">
        <v>11</v>
      </c>
      <c r="Q377">
        <v>9</v>
      </c>
      <c r="R377">
        <v>2</v>
      </c>
      <c r="S377">
        <v>0</v>
      </c>
      <c r="T377">
        <v>0</v>
      </c>
      <c r="U377">
        <v>0</v>
      </c>
      <c r="V377">
        <v>0</v>
      </c>
      <c r="W377">
        <v>1.22</v>
      </c>
      <c r="X377">
        <v>6.5</v>
      </c>
      <c r="Y377">
        <v>11</v>
      </c>
      <c r="Z377">
        <v>1.22</v>
      </c>
      <c r="AA377">
        <v>6.25</v>
      </c>
      <c r="AB377">
        <v>11.5</v>
      </c>
      <c r="AC377">
        <v>1.1499999999999999</v>
      </c>
      <c r="AD377">
        <v>7</v>
      </c>
      <c r="AE377">
        <v>15</v>
      </c>
      <c r="AF377">
        <v>1.2</v>
      </c>
      <c r="AG377">
        <v>6.5</v>
      </c>
      <c r="AH377">
        <v>13</v>
      </c>
      <c r="AI377">
        <v>1.24</v>
      </c>
      <c r="AJ377">
        <v>6.81</v>
      </c>
      <c r="AK377">
        <v>15.35</v>
      </c>
      <c r="AL377">
        <v>1.25</v>
      </c>
      <c r="AM377">
        <v>6</v>
      </c>
      <c r="AN377">
        <v>11</v>
      </c>
      <c r="AO377">
        <v>1.2</v>
      </c>
      <c r="AP377">
        <v>6.25</v>
      </c>
      <c r="AQ377">
        <v>10</v>
      </c>
      <c r="AR377">
        <v>1.22</v>
      </c>
      <c r="AS377">
        <v>6.5</v>
      </c>
      <c r="AT377">
        <v>18</v>
      </c>
      <c r="AU377">
        <v>52</v>
      </c>
      <c r="AV377">
        <v>1.25</v>
      </c>
      <c r="AW377">
        <v>1.22</v>
      </c>
      <c r="AX377">
        <v>7</v>
      </c>
      <c r="AY377">
        <v>6.35</v>
      </c>
      <c r="AZ377">
        <v>18</v>
      </c>
      <c r="BA377">
        <v>12.28</v>
      </c>
      <c r="BB377">
        <v>36</v>
      </c>
      <c r="BC377">
        <v>1.55</v>
      </c>
      <c r="BD377">
        <v>1.5</v>
      </c>
      <c r="BE377">
        <v>2.74</v>
      </c>
      <c r="BF377">
        <v>2.5</v>
      </c>
      <c r="BG377">
        <v>22</v>
      </c>
      <c r="BH377">
        <v>-1.75</v>
      </c>
      <c r="BI377">
        <v>1.95</v>
      </c>
      <c r="BJ377">
        <v>1.89</v>
      </c>
      <c r="BK377">
        <v>2.0099999999999998</v>
      </c>
      <c r="BL377">
        <v>1.97</v>
      </c>
      <c r="BM377">
        <v>1.21</v>
      </c>
      <c r="BN377">
        <v>7.25</v>
      </c>
      <c r="BO377">
        <v>18.39</v>
      </c>
    </row>
    <row r="378" spans="1:67">
      <c r="A378" t="s">
        <v>63</v>
      </c>
      <c r="B378" s="77">
        <v>41777</v>
      </c>
      <c r="C378" t="s">
        <v>75</v>
      </c>
      <c r="D378" t="s">
        <v>80</v>
      </c>
      <c r="E378">
        <v>1</v>
      </c>
      <c r="F378">
        <v>0</v>
      </c>
      <c r="G378" t="s">
        <v>70</v>
      </c>
      <c r="H378">
        <v>0</v>
      </c>
      <c r="I378">
        <v>0</v>
      </c>
      <c r="J378" t="s">
        <v>67</v>
      </c>
      <c r="K378">
        <v>18</v>
      </c>
      <c r="L378">
        <v>8</v>
      </c>
      <c r="M378">
        <v>6</v>
      </c>
      <c r="N378">
        <v>1</v>
      </c>
      <c r="O378">
        <v>11</v>
      </c>
      <c r="P378">
        <v>10</v>
      </c>
      <c r="Q378">
        <v>8</v>
      </c>
      <c r="R378">
        <v>2</v>
      </c>
      <c r="S378">
        <v>2</v>
      </c>
      <c r="T378">
        <v>1</v>
      </c>
      <c r="U378">
        <v>0</v>
      </c>
      <c r="V378">
        <v>0</v>
      </c>
      <c r="W378">
        <v>1.44</v>
      </c>
      <c r="X378">
        <v>4.33</v>
      </c>
      <c r="Y378">
        <v>7</v>
      </c>
      <c r="Z378">
        <v>1.42</v>
      </c>
      <c r="AA378">
        <v>4.5</v>
      </c>
      <c r="AB378">
        <v>7</v>
      </c>
      <c r="AC378">
        <v>1.5</v>
      </c>
      <c r="AD378">
        <v>4</v>
      </c>
      <c r="AE378">
        <v>6.1</v>
      </c>
      <c r="AF378">
        <v>1.44</v>
      </c>
      <c r="AG378">
        <v>4.33</v>
      </c>
      <c r="AH378">
        <v>7</v>
      </c>
      <c r="AI378">
        <v>1.49</v>
      </c>
      <c r="AJ378">
        <v>4.74</v>
      </c>
      <c r="AK378">
        <v>7.36</v>
      </c>
      <c r="AL378">
        <v>1.5</v>
      </c>
      <c r="AM378">
        <v>4.4000000000000004</v>
      </c>
      <c r="AN378">
        <v>6</v>
      </c>
      <c r="AO378">
        <v>1.44</v>
      </c>
      <c r="AP378">
        <v>4.33</v>
      </c>
      <c r="AQ378">
        <v>6</v>
      </c>
      <c r="AR378">
        <v>1.5</v>
      </c>
      <c r="AS378">
        <v>4.4000000000000004</v>
      </c>
      <c r="AT378">
        <v>7.5</v>
      </c>
      <c r="AU378">
        <v>52</v>
      </c>
      <c r="AV378">
        <v>1.5</v>
      </c>
      <c r="AW378">
        <v>1.47</v>
      </c>
      <c r="AX378">
        <v>4.8</v>
      </c>
      <c r="AY378">
        <v>4.41</v>
      </c>
      <c r="AZ378">
        <v>7.5</v>
      </c>
      <c r="BA378">
        <v>6.64</v>
      </c>
      <c r="BB378">
        <v>38</v>
      </c>
      <c r="BC378">
        <v>1.67</v>
      </c>
      <c r="BD378">
        <v>1.59</v>
      </c>
      <c r="BE378">
        <v>2.58</v>
      </c>
      <c r="BF378">
        <v>2.2799999999999998</v>
      </c>
      <c r="BG378">
        <v>21</v>
      </c>
      <c r="BH378">
        <v>-1</v>
      </c>
      <c r="BI378">
        <v>1.83</v>
      </c>
      <c r="BJ378">
        <v>1.78</v>
      </c>
      <c r="BK378">
        <v>2.15</v>
      </c>
      <c r="BL378">
        <v>2.08</v>
      </c>
      <c r="BM378">
        <v>1.34</v>
      </c>
      <c r="BN378">
        <v>5.49</v>
      </c>
      <c r="BO378">
        <v>11.08</v>
      </c>
    </row>
    <row r="379" spans="1:67">
      <c r="A379" t="s">
        <v>63</v>
      </c>
      <c r="B379" s="77">
        <v>41777</v>
      </c>
      <c r="C379" t="s">
        <v>69</v>
      </c>
      <c r="D379" t="s">
        <v>84</v>
      </c>
      <c r="E379">
        <v>2</v>
      </c>
      <c r="F379">
        <v>1</v>
      </c>
      <c r="G379" t="s">
        <v>70</v>
      </c>
      <c r="H379">
        <v>2</v>
      </c>
      <c r="I379">
        <v>0</v>
      </c>
      <c r="J379" t="s">
        <v>70</v>
      </c>
      <c r="K379">
        <v>16</v>
      </c>
      <c r="L379">
        <v>16</v>
      </c>
      <c r="M379">
        <v>9</v>
      </c>
      <c r="N379">
        <v>5</v>
      </c>
      <c r="O379">
        <v>17</v>
      </c>
      <c r="P379">
        <v>13</v>
      </c>
      <c r="Q379">
        <v>7</v>
      </c>
      <c r="R379">
        <v>6</v>
      </c>
      <c r="S379">
        <v>0</v>
      </c>
      <c r="T379">
        <v>1</v>
      </c>
      <c r="U379">
        <v>2</v>
      </c>
      <c r="V379">
        <v>1</v>
      </c>
      <c r="W379">
        <v>1.29</v>
      </c>
      <c r="X379">
        <v>5.75</v>
      </c>
      <c r="Y379">
        <v>9</v>
      </c>
      <c r="Z379">
        <v>1.25</v>
      </c>
      <c r="AA379">
        <v>6</v>
      </c>
      <c r="AB379">
        <v>10</v>
      </c>
      <c r="AC379">
        <v>1.25</v>
      </c>
      <c r="AD379">
        <v>6</v>
      </c>
      <c r="AE379">
        <v>9</v>
      </c>
      <c r="AF379">
        <v>1.25</v>
      </c>
      <c r="AG379">
        <v>6</v>
      </c>
      <c r="AH379">
        <v>10</v>
      </c>
      <c r="AI379">
        <v>1.31</v>
      </c>
      <c r="AJ379">
        <v>6.1</v>
      </c>
      <c r="AK379">
        <v>10.8</v>
      </c>
      <c r="AL379">
        <v>1.29</v>
      </c>
      <c r="AM379">
        <v>5.5</v>
      </c>
      <c r="AN379">
        <v>10</v>
      </c>
      <c r="AO379">
        <v>1.27</v>
      </c>
      <c r="AP379">
        <v>5.75</v>
      </c>
      <c r="AQ379">
        <v>8.5</v>
      </c>
      <c r="AR379">
        <v>1.29</v>
      </c>
      <c r="AS379">
        <v>6</v>
      </c>
      <c r="AT379">
        <v>12</v>
      </c>
      <c r="AU379">
        <v>52</v>
      </c>
      <c r="AV379">
        <v>1.31</v>
      </c>
      <c r="AW379">
        <v>1.28</v>
      </c>
      <c r="AX379">
        <v>6.5</v>
      </c>
      <c r="AY379">
        <v>5.79</v>
      </c>
      <c r="AZ379">
        <v>12</v>
      </c>
      <c r="BA379">
        <v>9.58</v>
      </c>
      <c r="BB379">
        <v>38</v>
      </c>
      <c r="BC379">
        <v>1.46</v>
      </c>
      <c r="BD379">
        <v>1.42</v>
      </c>
      <c r="BE379">
        <v>3</v>
      </c>
      <c r="BF379">
        <v>2.76</v>
      </c>
      <c r="BG379">
        <v>22</v>
      </c>
      <c r="BH379">
        <v>-1.75</v>
      </c>
      <c r="BI379">
        <v>2.11</v>
      </c>
      <c r="BJ379">
        <v>2.0499999999999998</v>
      </c>
      <c r="BK379">
        <v>1.91</v>
      </c>
      <c r="BL379">
        <v>1.82</v>
      </c>
      <c r="BM379">
        <v>1.28</v>
      </c>
      <c r="BN379">
        <v>6.67</v>
      </c>
      <c r="BO379">
        <v>10.96</v>
      </c>
    </row>
    <row r="380" spans="1:67">
      <c r="A380" t="s">
        <v>63</v>
      </c>
      <c r="B380" s="77">
        <v>41777</v>
      </c>
      <c r="C380" t="s">
        <v>79</v>
      </c>
      <c r="D380" t="s">
        <v>68</v>
      </c>
      <c r="E380">
        <v>5</v>
      </c>
      <c r="F380">
        <v>1</v>
      </c>
      <c r="G380" t="s">
        <v>70</v>
      </c>
      <c r="H380">
        <v>3</v>
      </c>
      <c r="I380">
        <v>0</v>
      </c>
      <c r="J380" t="s">
        <v>70</v>
      </c>
      <c r="K380">
        <v>20</v>
      </c>
      <c r="L380">
        <v>10</v>
      </c>
      <c r="M380">
        <v>11</v>
      </c>
      <c r="N380">
        <v>5</v>
      </c>
      <c r="O380">
        <v>9</v>
      </c>
      <c r="P380">
        <v>5</v>
      </c>
      <c r="Q380">
        <v>2</v>
      </c>
      <c r="R380">
        <v>2</v>
      </c>
      <c r="S380">
        <v>2</v>
      </c>
      <c r="T380">
        <v>1</v>
      </c>
      <c r="U380">
        <v>0</v>
      </c>
      <c r="V380">
        <v>0</v>
      </c>
      <c r="W380">
        <v>1.44</v>
      </c>
      <c r="X380">
        <v>4.5</v>
      </c>
      <c r="Y380">
        <v>6.5</v>
      </c>
      <c r="Z380">
        <v>1.42</v>
      </c>
      <c r="AA380">
        <v>4.75</v>
      </c>
      <c r="AB380">
        <v>6.5</v>
      </c>
      <c r="AC380">
        <v>1.5</v>
      </c>
      <c r="AD380">
        <v>4</v>
      </c>
      <c r="AE380">
        <v>6.1</v>
      </c>
      <c r="AF380">
        <v>1.45</v>
      </c>
      <c r="AG380">
        <v>4.75</v>
      </c>
      <c r="AH380">
        <v>6</v>
      </c>
      <c r="AI380">
        <v>1.46</v>
      </c>
      <c r="AJ380">
        <v>5.15</v>
      </c>
      <c r="AK380">
        <v>7.01</v>
      </c>
      <c r="AL380">
        <v>1.5</v>
      </c>
      <c r="AM380">
        <v>4.75</v>
      </c>
      <c r="AN380">
        <v>5.5</v>
      </c>
      <c r="AO380">
        <v>1.44</v>
      </c>
      <c r="AP380">
        <v>4.33</v>
      </c>
      <c r="AQ380">
        <v>6.25</v>
      </c>
      <c r="AR380">
        <v>1.45</v>
      </c>
      <c r="AS380">
        <v>4.75</v>
      </c>
      <c r="AT380">
        <v>7.5</v>
      </c>
      <c r="AU380">
        <v>52</v>
      </c>
      <c r="AV380">
        <v>1.5</v>
      </c>
      <c r="AW380">
        <v>1.45</v>
      </c>
      <c r="AX380">
        <v>5.16</v>
      </c>
      <c r="AY380">
        <v>4.6399999999999997</v>
      </c>
      <c r="AZ380">
        <v>7.5</v>
      </c>
      <c r="BA380">
        <v>6.44</v>
      </c>
      <c r="BB380">
        <v>38</v>
      </c>
      <c r="BC380">
        <v>1.43</v>
      </c>
      <c r="BD380">
        <v>1.37</v>
      </c>
      <c r="BE380">
        <v>3.25</v>
      </c>
      <c r="BF380">
        <v>2.99</v>
      </c>
      <c r="BG380">
        <v>22</v>
      </c>
      <c r="BH380">
        <v>-1</v>
      </c>
      <c r="BI380">
        <v>1.71</v>
      </c>
      <c r="BJ380">
        <v>1.68</v>
      </c>
      <c r="BK380">
        <v>2.33</v>
      </c>
      <c r="BL380">
        <v>2.2400000000000002</v>
      </c>
      <c r="BM380">
        <v>1.61</v>
      </c>
      <c r="BN380">
        <v>4.5</v>
      </c>
      <c r="BO380">
        <v>5.65</v>
      </c>
    </row>
    <row r="381" spans="1:67">
      <c r="A381" t="s">
        <v>63</v>
      </c>
      <c r="B381" s="77">
        <v>41777</v>
      </c>
      <c r="C381" t="s">
        <v>81</v>
      </c>
      <c r="D381" t="s">
        <v>77</v>
      </c>
      <c r="E381">
        <v>2</v>
      </c>
      <c r="F381">
        <v>0</v>
      </c>
      <c r="G381" t="s">
        <v>70</v>
      </c>
      <c r="H381">
        <v>0</v>
      </c>
      <c r="I381">
        <v>0</v>
      </c>
      <c r="J381" t="s">
        <v>67</v>
      </c>
      <c r="K381">
        <v>19</v>
      </c>
      <c r="L381">
        <v>6</v>
      </c>
      <c r="M381">
        <v>4</v>
      </c>
      <c r="N381">
        <v>1</v>
      </c>
      <c r="O381">
        <v>15</v>
      </c>
      <c r="P381">
        <v>7</v>
      </c>
      <c r="Q381">
        <v>7</v>
      </c>
      <c r="R381">
        <v>1</v>
      </c>
      <c r="S381">
        <v>0</v>
      </c>
      <c r="T381">
        <v>1</v>
      </c>
      <c r="U381">
        <v>0</v>
      </c>
      <c r="V381">
        <v>0</v>
      </c>
      <c r="W381">
        <v>1.22</v>
      </c>
      <c r="X381">
        <v>6</v>
      </c>
      <c r="Y381">
        <v>12</v>
      </c>
      <c r="Z381">
        <v>1.2</v>
      </c>
      <c r="AA381">
        <v>6.5</v>
      </c>
      <c r="AB381">
        <v>12</v>
      </c>
      <c r="AC381">
        <v>1.2</v>
      </c>
      <c r="AD381">
        <v>6.5</v>
      </c>
      <c r="AE381">
        <v>11</v>
      </c>
      <c r="AF381">
        <v>1.22</v>
      </c>
      <c r="AG381">
        <v>6</v>
      </c>
      <c r="AH381">
        <v>12</v>
      </c>
      <c r="AI381">
        <v>1.24</v>
      </c>
      <c r="AJ381">
        <v>6.91</v>
      </c>
      <c r="AK381">
        <v>14.4</v>
      </c>
      <c r="AL381">
        <v>1.22</v>
      </c>
      <c r="AM381">
        <v>6.5</v>
      </c>
      <c r="AN381">
        <v>11</v>
      </c>
      <c r="AO381">
        <v>1.22</v>
      </c>
      <c r="AP381">
        <v>6.25</v>
      </c>
      <c r="AQ381">
        <v>10</v>
      </c>
      <c r="AR381">
        <v>1.22</v>
      </c>
      <c r="AS381">
        <v>6.5</v>
      </c>
      <c r="AT381">
        <v>15</v>
      </c>
      <c r="AU381">
        <v>52</v>
      </c>
      <c r="AV381">
        <v>1.25</v>
      </c>
      <c r="AW381">
        <v>1.22</v>
      </c>
      <c r="AX381">
        <v>7.5</v>
      </c>
      <c r="AY381">
        <v>6.47</v>
      </c>
      <c r="AZ381">
        <v>15</v>
      </c>
      <c r="BA381">
        <v>12.24</v>
      </c>
      <c r="BB381">
        <v>37</v>
      </c>
      <c r="BC381">
        <v>1.52</v>
      </c>
      <c r="BD381">
        <v>1.45</v>
      </c>
      <c r="BE381">
        <v>2.92</v>
      </c>
      <c r="BF381">
        <v>2.64</v>
      </c>
      <c r="BG381">
        <v>20</v>
      </c>
      <c r="BH381">
        <v>-1.75</v>
      </c>
      <c r="BI381">
        <v>1.92</v>
      </c>
      <c r="BJ381">
        <v>1.87</v>
      </c>
      <c r="BK381">
        <v>2.0499999999999998</v>
      </c>
      <c r="BL381">
        <v>1.99</v>
      </c>
      <c r="BM381">
        <v>1.2</v>
      </c>
      <c r="BN381">
        <v>7.6</v>
      </c>
      <c r="BO381">
        <v>17.510000000000002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B52"/>
  <sheetViews>
    <sheetView workbookViewId="0">
      <selection activeCell="G13" sqref="G13"/>
    </sheetView>
  </sheetViews>
  <sheetFormatPr defaultRowHeight="15"/>
  <cols>
    <col min="1" max="1" width="8" customWidth="1"/>
    <col min="2" max="2" width="10.140625" customWidth="1"/>
    <col min="3" max="3" width="14.5703125" bestFit="1" customWidth="1"/>
    <col min="4" max="4" width="10" customWidth="1"/>
    <col min="5" max="9" width="9.28515625" bestFit="1" customWidth="1"/>
  </cols>
  <sheetData>
    <row r="1" spans="1:28">
      <c r="A1" t="s">
        <v>89</v>
      </c>
      <c r="B1" t="s">
        <v>87</v>
      </c>
      <c r="C1" t="s">
        <v>88</v>
      </c>
      <c r="D1" t="s">
        <v>90</v>
      </c>
      <c r="E1" t="s">
        <v>67</v>
      </c>
      <c r="F1" t="s">
        <v>91</v>
      </c>
      <c r="G1" t="s">
        <v>92</v>
      </c>
      <c r="H1" t="s">
        <v>93</v>
      </c>
      <c r="I1" t="s">
        <v>111</v>
      </c>
      <c r="J1" t="s">
        <v>94</v>
      </c>
      <c r="K1" t="s">
        <v>95</v>
      </c>
      <c r="L1" t="s">
        <v>96</v>
      </c>
      <c r="M1" t="s">
        <v>97</v>
      </c>
      <c r="N1" t="s">
        <v>99</v>
      </c>
      <c r="O1" t="s">
        <v>23</v>
      </c>
      <c r="P1" t="s">
        <v>98</v>
      </c>
      <c r="Q1" t="s">
        <v>100</v>
      </c>
      <c r="R1" t="s">
        <v>26</v>
      </c>
      <c r="S1" t="s">
        <v>101</v>
      </c>
      <c r="T1" t="s">
        <v>102</v>
      </c>
      <c r="U1" t="s">
        <v>32</v>
      </c>
      <c r="V1" t="s">
        <v>103</v>
      </c>
      <c r="W1" t="s">
        <v>104</v>
      </c>
      <c r="X1" t="s">
        <v>35</v>
      </c>
      <c r="Y1" t="s">
        <v>105</v>
      </c>
      <c r="Z1" t="s">
        <v>106</v>
      </c>
      <c r="AA1" t="s">
        <v>38</v>
      </c>
      <c r="AB1" t="s">
        <v>107</v>
      </c>
    </row>
    <row r="2" spans="1:28">
      <c r="A2" s="46">
        <v>1</v>
      </c>
      <c r="B2" t="s">
        <v>65</v>
      </c>
      <c r="C2">
        <v>102</v>
      </c>
      <c r="D2">
        <v>33</v>
      </c>
      <c r="E2">
        <v>3</v>
      </c>
      <c r="F2">
        <v>2</v>
      </c>
      <c r="G2">
        <v>80</v>
      </c>
      <c r="H2">
        <v>23</v>
      </c>
      <c r="I2">
        <v>602</v>
      </c>
      <c r="J2">
        <v>222</v>
      </c>
      <c r="K2">
        <v>220</v>
      </c>
      <c r="L2">
        <v>566</v>
      </c>
      <c r="M2">
        <v>69</v>
      </c>
      <c r="N2" s="2">
        <v>1.4989473684210524</v>
      </c>
      <c r="O2" s="2">
        <v>4.8589473684210533</v>
      </c>
      <c r="P2" s="2">
        <v>8.9552631578947377</v>
      </c>
      <c r="Q2" s="2">
        <v>1.4952631578947362</v>
      </c>
      <c r="R2" s="2">
        <v>4.9336842105263159</v>
      </c>
      <c r="S2" s="2">
        <v>9.1065789473684191</v>
      </c>
      <c r="T2" s="2">
        <v>1.5102631578947368</v>
      </c>
      <c r="U2" s="2">
        <v>4.7934210526315795</v>
      </c>
      <c r="V2" s="2">
        <v>8.5763157894736839</v>
      </c>
      <c r="W2" s="2">
        <v>1.5044736842105262</v>
      </c>
      <c r="X2" s="2">
        <v>4.9894736842105258</v>
      </c>
      <c r="Y2" s="2">
        <v>10.780526315789471</v>
      </c>
      <c r="Z2" s="2">
        <v>1.5321052631578944</v>
      </c>
      <c r="AA2" s="2">
        <v>4.5415789473684205</v>
      </c>
      <c r="AB2" s="2">
        <v>9.1539473684210524</v>
      </c>
    </row>
    <row r="3" spans="1:28">
      <c r="A3" s="46">
        <v>2</v>
      </c>
      <c r="B3" t="s">
        <v>78</v>
      </c>
      <c r="C3">
        <v>85</v>
      </c>
      <c r="D3">
        <v>26</v>
      </c>
      <c r="E3">
        <v>7</v>
      </c>
      <c r="F3">
        <v>5</v>
      </c>
      <c r="G3">
        <v>72</v>
      </c>
      <c r="H3">
        <v>25</v>
      </c>
      <c r="I3">
        <v>592</v>
      </c>
      <c r="J3">
        <v>216</v>
      </c>
      <c r="K3">
        <v>213</v>
      </c>
      <c r="L3">
        <v>487</v>
      </c>
      <c r="M3">
        <v>82</v>
      </c>
      <c r="N3" s="2">
        <v>1.8744736842105261</v>
      </c>
      <c r="O3" s="2">
        <v>4.0994736842105262</v>
      </c>
      <c r="P3" s="2">
        <v>6.0531578947368416</v>
      </c>
      <c r="Q3" s="2">
        <v>1.8650000000000004</v>
      </c>
      <c r="R3" s="2">
        <v>4.1042105263157893</v>
      </c>
      <c r="S3" s="2">
        <v>5.8789473684210529</v>
      </c>
      <c r="T3" s="2">
        <v>1.872631578947368</v>
      </c>
      <c r="U3" s="2">
        <v>4.0686842105263166</v>
      </c>
      <c r="V3" s="2">
        <v>5.9876315789473677</v>
      </c>
      <c r="W3" s="2">
        <v>1.9360526315789468</v>
      </c>
      <c r="X3" s="2">
        <v>4.2868421052631582</v>
      </c>
      <c r="Y3" s="2">
        <v>7.0915789473684185</v>
      </c>
      <c r="Z3" s="2">
        <v>1.9142105263157894</v>
      </c>
      <c r="AA3" s="2">
        <v>3.8686842105263168</v>
      </c>
      <c r="AB3" s="2">
        <v>6.1071052631578953</v>
      </c>
    </row>
    <row r="4" spans="1:28">
      <c r="A4" s="46">
        <v>3</v>
      </c>
      <c r="B4" t="s">
        <v>79</v>
      </c>
      <c r="C4">
        <v>78</v>
      </c>
      <c r="D4">
        <v>23</v>
      </c>
      <c r="E4">
        <v>9</v>
      </c>
      <c r="F4">
        <v>6</v>
      </c>
      <c r="G4">
        <v>77</v>
      </c>
      <c r="H4">
        <v>39</v>
      </c>
      <c r="I4">
        <v>577</v>
      </c>
      <c r="J4">
        <v>226</v>
      </c>
      <c r="K4">
        <v>185</v>
      </c>
      <c r="L4">
        <v>473</v>
      </c>
      <c r="M4">
        <v>73</v>
      </c>
      <c r="N4" s="2">
        <v>1.9368421052631577</v>
      </c>
      <c r="O4" s="2">
        <v>4.0007894736842102</v>
      </c>
      <c r="P4" s="2">
        <v>5.7865789473684224</v>
      </c>
      <c r="Q4" s="2">
        <v>1.9155263157894726</v>
      </c>
      <c r="R4" s="2">
        <v>4.0815789473684214</v>
      </c>
      <c r="S4" s="2">
        <v>5.8544736842105252</v>
      </c>
      <c r="T4" s="2">
        <v>1.9376315789473686</v>
      </c>
      <c r="U4" s="2">
        <v>4.0092105263157904</v>
      </c>
      <c r="V4" s="2">
        <v>5.5321052631578951</v>
      </c>
      <c r="W4" s="2">
        <v>2.0226315789473683</v>
      </c>
      <c r="X4" s="2">
        <v>4.2549999999999999</v>
      </c>
      <c r="Y4" s="2">
        <v>6.6376315789473708</v>
      </c>
      <c r="Z4" s="2">
        <v>1.9636842105263155</v>
      </c>
      <c r="AA4" s="2">
        <v>3.771052631578947</v>
      </c>
      <c r="AB4" s="2">
        <v>5.8471052631578955</v>
      </c>
    </row>
    <row r="5" spans="1:28">
      <c r="A5" s="46">
        <v>4</v>
      </c>
      <c r="B5" t="s">
        <v>85</v>
      </c>
      <c r="C5">
        <v>65</v>
      </c>
      <c r="D5">
        <v>19</v>
      </c>
      <c r="E5">
        <v>8</v>
      </c>
      <c r="F5">
        <v>11</v>
      </c>
      <c r="G5">
        <v>65</v>
      </c>
      <c r="H5">
        <v>44</v>
      </c>
      <c r="I5">
        <v>574</v>
      </c>
      <c r="J5">
        <v>172</v>
      </c>
      <c r="K5">
        <v>212</v>
      </c>
      <c r="L5">
        <v>463</v>
      </c>
      <c r="M5">
        <v>83</v>
      </c>
      <c r="N5" s="2">
        <v>2.4276315789473681</v>
      </c>
      <c r="O5" s="2">
        <v>3.6755263157894733</v>
      </c>
      <c r="P5" s="2">
        <v>4.22078947368421</v>
      </c>
      <c r="Q5" s="2">
        <v>2.3855263157894742</v>
      </c>
      <c r="R5" s="2">
        <v>3.7171052631578956</v>
      </c>
      <c r="S5" s="2">
        <v>4.3699999999999992</v>
      </c>
      <c r="T5" s="2">
        <v>2.3889473684210523</v>
      </c>
      <c r="U5" s="2">
        <v>3.6892105263157888</v>
      </c>
      <c r="V5" s="2">
        <v>4.1473684210526311</v>
      </c>
      <c r="W5" s="2">
        <v>2.603947368421053</v>
      </c>
      <c r="X5" s="2">
        <v>3.828157894736842</v>
      </c>
      <c r="Y5" s="2">
        <v>4.7326315789473687</v>
      </c>
      <c r="Z5" s="2">
        <v>2.4910526315789463</v>
      </c>
      <c r="AA5" s="2">
        <v>3.5144736842105258</v>
      </c>
      <c r="AB5" s="2">
        <v>4.2889473684210522</v>
      </c>
    </row>
    <row r="6" spans="1:28">
      <c r="A6" s="47">
        <v>5</v>
      </c>
      <c r="B6" s="44" t="s">
        <v>73</v>
      </c>
      <c r="C6" s="44">
        <v>60</v>
      </c>
      <c r="D6" s="44">
        <v>15</v>
      </c>
      <c r="E6" s="44">
        <v>15</v>
      </c>
      <c r="F6" s="44">
        <v>8</v>
      </c>
      <c r="G6" s="44">
        <v>62</v>
      </c>
      <c r="H6" s="44">
        <v>39</v>
      </c>
      <c r="I6" s="44">
        <v>546</v>
      </c>
      <c r="J6" s="44">
        <v>185</v>
      </c>
      <c r="K6" s="44">
        <v>230</v>
      </c>
      <c r="L6" s="44">
        <v>503</v>
      </c>
      <c r="M6" s="44">
        <v>70</v>
      </c>
      <c r="N6" s="45">
        <v>2.2992105263157891</v>
      </c>
      <c r="O6" s="45">
        <v>3.741578947368422</v>
      </c>
      <c r="P6" s="45">
        <v>4.5865789473684204</v>
      </c>
      <c r="Q6" s="45">
        <v>2.2613157894736844</v>
      </c>
      <c r="R6" s="45">
        <v>3.7797368421052631</v>
      </c>
      <c r="S6" s="45">
        <v>4.6355263157894733</v>
      </c>
      <c r="T6" s="45">
        <v>2.263157894736842</v>
      </c>
      <c r="U6" s="45">
        <v>3.7584210526315793</v>
      </c>
      <c r="V6" s="45">
        <v>4.3694736842105257</v>
      </c>
      <c r="W6" s="45">
        <v>2.4134210526315782</v>
      </c>
      <c r="X6" s="45">
        <v>3.9068421052631579</v>
      </c>
      <c r="Y6" s="45">
        <v>5.1210526315789453</v>
      </c>
      <c r="Z6" s="45">
        <v>2.3600000000000003</v>
      </c>
      <c r="AA6" s="45">
        <v>3.5244736842105264</v>
      </c>
      <c r="AB6" s="45">
        <v>4.6871052631578953</v>
      </c>
    </row>
    <row r="7" spans="1:28">
      <c r="A7" s="44">
        <v>6</v>
      </c>
      <c r="B7" s="44" t="s">
        <v>81</v>
      </c>
      <c r="C7" s="44">
        <v>58</v>
      </c>
      <c r="D7" s="44">
        <v>15</v>
      </c>
      <c r="E7" s="44">
        <v>13</v>
      </c>
      <c r="F7" s="44">
        <v>10</v>
      </c>
      <c r="G7" s="44">
        <v>58</v>
      </c>
      <c r="H7" s="44">
        <v>46</v>
      </c>
      <c r="I7" s="44">
        <v>494</v>
      </c>
      <c r="J7" s="44">
        <v>160</v>
      </c>
      <c r="K7" s="44">
        <v>195</v>
      </c>
      <c r="L7" s="44">
        <v>616</v>
      </c>
      <c r="M7" s="44">
        <v>98</v>
      </c>
      <c r="N7" s="45">
        <v>3.0931578947368421</v>
      </c>
      <c r="O7" s="45">
        <v>3.5828947368421047</v>
      </c>
      <c r="P7" s="45">
        <v>3.3568421052631567</v>
      </c>
      <c r="Q7" s="45">
        <v>3.1726315789473682</v>
      </c>
      <c r="R7" s="45">
        <v>3.5907894736842101</v>
      </c>
      <c r="S7" s="45">
        <v>3.3292105263157894</v>
      </c>
      <c r="T7" s="45">
        <v>3.1328947368421045</v>
      </c>
      <c r="U7" s="45">
        <v>3.5921052631578938</v>
      </c>
      <c r="V7" s="45">
        <v>3.2452631578947364</v>
      </c>
      <c r="W7" s="45">
        <v>3.3871052631578942</v>
      </c>
      <c r="X7" s="45">
        <v>3.7252631578947377</v>
      </c>
      <c r="Y7" s="45">
        <v>3.6523684210526315</v>
      </c>
      <c r="Z7" s="45">
        <v>3.1749999999999998</v>
      </c>
      <c r="AA7" s="45">
        <v>3.4236842105263148</v>
      </c>
      <c r="AB7" s="45">
        <v>3.3689473684210522</v>
      </c>
    </row>
    <row r="8" spans="1:28">
      <c r="A8" s="47">
        <v>7</v>
      </c>
      <c r="B8" s="44" t="s">
        <v>83</v>
      </c>
      <c r="C8" s="44">
        <v>57</v>
      </c>
      <c r="D8" s="44">
        <v>15</v>
      </c>
      <c r="E8" s="44">
        <v>12</v>
      </c>
      <c r="F8" s="44">
        <v>11</v>
      </c>
      <c r="G8" s="44">
        <v>58</v>
      </c>
      <c r="H8" s="44">
        <v>48</v>
      </c>
      <c r="I8" s="44">
        <v>503</v>
      </c>
      <c r="J8" s="44">
        <v>173</v>
      </c>
      <c r="K8" s="44">
        <v>222</v>
      </c>
      <c r="L8" s="44">
        <v>483</v>
      </c>
      <c r="M8" s="44">
        <v>94</v>
      </c>
      <c r="N8" s="45">
        <v>3.5278947368421036</v>
      </c>
      <c r="O8" s="45">
        <v>3.5407894736842103</v>
      </c>
      <c r="P8" s="45">
        <v>2.9121052631578941</v>
      </c>
      <c r="Q8" s="45">
        <v>3.5455263157894734</v>
      </c>
      <c r="R8" s="45">
        <v>3.5355263157894736</v>
      </c>
      <c r="S8" s="45">
        <v>2.9263157894736849</v>
      </c>
      <c r="T8" s="45">
        <v>3.511842105263157</v>
      </c>
      <c r="U8" s="45">
        <v>3.5250000000000004</v>
      </c>
      <c r="V8" s="45">
        <v>2.8478947368421057</v>
      </c>
      <c r="W8" s="45">
        <v>3.8726315789473675</v>
      </c>
      <c r="X8" s="45">
        <v>3.651315789473685</v>
      </c>
      <c r="Y8" s="45">
        <v>3.1168421052631579</v>
      </c>
      <c r="Z8" s="45">
        <v>3.5455263157894743</v>
      </c>
      <c r="AA8" s="45">
        <v>3.3486842105263146</v>
      </c>
      <c r="AB8" s="45">
        <v>2.9926315789473685</v>
      </c>
    </row>
    <row r="9" spans="1:28">
      <c r="A9" s="44">
        <v>8</v>
      </c>
      <c r="B9" s="44" t="s">
        <v>69</v>
      </c>
      <c r="C9" s="44">
        <v>57</v>
      </c>
      <c r="D9" s="44">
        <v>16</v>
      </c>
      <c r="E9" s="44">
        <v>9</v>
      </c>
      <c r="F9" s="44">
        <v>13</v>
      </c>
      <c r="G9" s="44">
        <v>57</v>
      </c>
      <c r="H9" s="44">
        <v>49</v>
      </c>
      <c r="I9" s="44">
        <v>620</v>
      </c>
      <c r="J9" s="44">
        <v>204</v>
      </c>
      <c r="K9" s="44">
        <v>223</v>
      </c>
      <c r="L9" s="44">
        <v>570</v>
      </c>
      <c r="M9" s="44">
        <v>84</v>
      </c>
      <c r="N9" s="45">
        <v>2.1271052631578953</v>
      </c>
      <c r="O9" s="45">
        <v>3.81</v>
      </c>
      <c r="P9" s="45">
        <v>4.8468421052631578</v>
      </c>
      <c r="Q9" s="45">
        <v>2.1339473684210528</v>
      </c>
      <c r="R9" s="45">
        <v>3.8139473684210521</v>
      </c>
      <c r="S9" s="45">
        <v>4.8410526315789468</v>
      </c>
      <c r="T9" s="45">
        <v>2.1571052631578942</v>
      </c>
      <c r="U9" s="45">
        <v>3.745526315789474</v>
      </c>
      <c r="V9" s="45">
        <v>4.6513157894736841</v>
      </c>
      <c r="W9" s="45">
        <v>2.2471052631578949</v>
      </c>
      <c r="X9" s="45">
        <v>3.9550000000000005</v>
      </c>
      <c r="Y9" s="45">
        <v>5.3894736842105262</v>
      </c>
      <c r="Z9" s="45">
        <v>2.211315789473685</v>
      </c>
      <c r="AA9" s="45">
        <v>3.5692105263157887</v>
      </c>
      <c r="AB9" s="45">
        <v>4.9544736842105275</v>
      </c>
    </row>
    <row r="10" spans="1:28">
      <c r="A10" s="44">
        <v>9</v>
      </c>
      <c r="B10" s="44" t="s">
        <v>75</v>
      </c>
      <c r="C10" s="44">
        <v>56</v>
      </c>
      <c r="D10" s="44">
        <v>15</v>
      </c>
      <c r="E10" s="44">
        <v>11</v>
      </c>
      <c r="F10" s="44">
        <v>12</v>
      </c>
      <c r="G10" s="44">
        <v>54</v>
      </c>
      <c r="H10" s="44">
        <v>54</v>
      </c>
      <c r="I10" s="44">
        <v>539</v>
      </c>
      <c r="J10" s="44">
        <v>182</v>
      </c>
      <c r="K10" s="44">
        <v>193</v>
      </c>
      <c r="L10" s="44">
        <v>599</v>
      </c>
      <c r="M10" s="44">
        <v>79</v>
      </c>
      <c r="N10" s="45">
        <v>2.7581578947368421</v>
      </c>
      <c r="O10" s="45">
        <v>3.4942105263157894</v>
      </c>
      <c r="P10" s="45">
        <v>3.5465789473684204</v>
      </c>
      <c r="Q10" s="45">
        <v>2.7521052631578953</v>
      </c>
      <c r="R10" s="45">
        <v>3.4802631578947367</v>
      </c>
      <c r="S10" s="45">
        <v>3.5607894736842112</v>
      </c>
      <c r="T10" s="45">
        <v>2.716315789473684</v>
      </c>
      <c r="U10" s="45">
        <v>3.5200000000000005</v>
      </c>
      <c r="V10" s="45">
        <v>3.4663157894736836</v>
      </c>
      <c r="W10" s="45">
        <v>2.9665789473684221</v>
      </c>
      <c r="X10" s="45">
        <v>3.6173684210526327</v>
      </c>
      <c r="Y10" s="45">
        <v>3.8505263157894745</v>
      </c>
      <c r="Z10" s="45">
        <v>2.8368421052631581</v>
      </c>
      <c r="AA10" s="45">
        <v>3.3276315789473681</v>
      </c>
      <c r="AB10" s="45">
        <v>3.5360526315789476</v>
      </c>
    </row>
    <row r="11" spans="1:28">
      <c r="A11" s="44">
        <v>10</v>
      </c>
      <c r="B11" s="44" t="s">
        <v>68</v>
      </c>
      <c r="C11" s="44">
        <v>54</v>
      </c>
      <c r="D11" s="44">
        <v>16</v>
      </c>
      <c r="E11" s="44">
        <v>6</v>
      </c>
      <c r="F11" s="44">
        <v>16</v>
      </c>
      <c r="G11" s="44">
        <v>62</v>
      </c>
      <c r="H11" s="44">
        <v>68</v>
      </c>
      <c r="I11" s="44">
        <v>459</v>
      </c>
      <c r="J11" s="44">
        <v>163</v>
      </c>
      <c r="K11" s="44">
        <v>187</v>
      </c>
      <c r="L11" s="44">
        <v>504</v>
      </c>
      <c r="M11" s="44">
        <v>68</v>
      </c>
      <c r="N11" s="45">
        <v>4.0873684210526298</v>
      </c>
      <c r="O11" s="45">
        <v>3.6134210526315789</v>
      </c>
      <c r="P11" s="45">
        <v>2.4107894736842104</v>
      </c>
      <c r="Q11" s="45">
        <v>4.1121052631578943</v>
      </c>
      <c r="R11" s="45">
        <v>3.5923684210526314</v>
      </c>
      <c r="S11" s="45">
        <v>2.4326315789473685</v>
      </c>
      <c r="T11" s="45">
        <v>3.857894736842105</v>
      </c>
      <c r="U11" s="45">
        <v>3.63</v>
      </c>
      <c r="V11" s="45">
        <v>2.4389473684210525</v>
      </c>
      <c r="W11" s="45">
        <v>4.6310526315789469</v>
      </c>
      <c r="X11" s="45">
        <v>3.7607894736842105</v>
      </c>
      <c r="Y11" s="45">
        <v>2.5265789473684213</v>
      </c>
      <c r="Z11" s="45">
        <v>4.1697368421052623</v>
      </c>
      <c r="AA11" s="45">
        <v>3.4697368421052621</v>
      </c>
      <c r="AB11" s="45">
        <v>2.4468421052631575</v>
      </c>
    </row>
    <row r="12" spans="1:28">
      <c r="A12" s="44">
        <v>11</v>
      </c>
      <c r="B12" s="44" t="s">
        <v>72</v>
      </c>
      <c r="C12" s="44">
        <v>50</v>
      </c>
      <c r="D12" s="44">
        <v>15</v>
      </c>
      <c r="E12" s="44">
        <v>5</v>
      </c>
      <c r="F12" s="44">
        <v>18</v>
      </c>
      <c r="G12" s="44">
        <v>43</v>
      </c>
      <c r="H12" s="44">
        <v>51</v>
      </c>
      <c r="I12" s="44">
        <v>447</v>
      </c>
      <c r="J12" s="44">
        <v>154</v>
      </c>
      <c r="K12" s="44">
        <v>190</v>
      </c>
      <c r="L12" s="44">
        <v>525</v>
      </c>
      <c r="M12" s="44">
        <v>81</v>
      </c>
      <c r="N12" s="45">
        <v>4.2476315789473684</v>
      </c>
      <c r="O12" s="45">
        <v>3.5744736842105267</v>
      </c>
      <c r="P12" s="45">
        <v>2.4452631578947366</v>
      </c>
      <c r="Q12" s="45">
        <v>4.2881578947368428</v>
      </c>
      <c r="R12" s="45">
        <v>3.5631578947368414</v>
      </c>
      <c r="S12" s="45">
        <v>2.4863157894736845</v>
      </c>
      <c r="T12" s="45">
        <v>4.0405263157894735</v>
      </c>
      <c r="U12" s="45">
        <v>3.5884210526315785</v>
      </c>
      <c r="V12" s="45">
        <v>2.4671052631578947</v>
      </c>
      <c r="W12" s="45">
        <v>4.7805263157894737</v>
      </c>
      <c r="X12" s="45">
        <v>3.6813157894736839</v>
      </c>
      <c r="Y12" s="45">
        <v>2.612368421052631</v>
      </c>
      <c r="Z12" s="45">
        <v>4.4131578947368411</v>
      </c>
      <c r="AA12" s="45">
        <v>3.3849999999999998</v>
      </c>
      <c r="AB12" s="45">
        <v>2.5184210526315791</v>
      </c>
    </row>
    <row r="13" spans="1:28">
      <c r="A13" s="44">
        <v>12</v>
      </c>
      <c r="B13" s="44" t="s">
        <v>64</v>
      </c>
      <c r="C13" s="44">
        <v>45</v>
      </c>
      <c r="D13" s="44">
        <v>12</v>
      </c>
      <c r="E13" s="44">
        <v>9</v>
      </c>
      <c r="F13" s="44">
        <v>17</v>
      </c>
      <c r="G13" s="44">
        <v>48</v>
      </c>
      <c r="H13" s="44">
        <v>62</v>
      </c>
      <c r="I13" s="44">
        <v>521</v>
      </c>
      <c r="J13" s="44">
        <v>175</v>
      </c>
      <c r="K13" s="44">
        <v>173</v>
      </c>
      <c r="L13" s="44">
        <v>660</v>
      </c>
      <c r="M13" s="44">
        <v>97</v>
      </c>
      <c r="N13" s="45">
        <v>4.2294736842105252</v>
      </c>
      <c r="O13" s="45">
        <v>3.5697368421052649</v>
      </c>
      <c r="P13" s="45">
        <v>2.4889473684210528</v>
      </c>
      <c r="Q13" s="45">
        <v>4.1376315789473672</v>
      </c>
      <c r="R13" s="45">
        <v>3.5552631578947369</v>
      </c>
      <c r="S13" s="45">
        <v>2.52921052631579</v>
      </c>
      <c r="T13" s="45">
        <v>4.0594736842105252</v>
      </c>
      <c r="U13" s="45">
        <v>3.5863157894736841</v>
      </c>
      <c r="V13" s="45">
        <v>2.4747368421052625</v>
      </c>
      <c r="W13" s="45">
        <v>4.7794736842105277</v>
      </c>
      <c r="X13" s="45">
        <v>3.7065789473684232</v>
      </c>
      <c r="Y13" s="45">
        <v>2.6657894736842103</v>
      </c>
      <c r="Z13" s="45">
        <v>4.22078947368421</v>
      </c>
      <c r="AA13" s="45">
        <v>3.4507894736842104</v>
      </c>
      <c r="AB13" s="45">
        <v>2.5481578947368422</v>
      </c>
    </row>
    <row r="14" spans="1:28">
      <c r="A14" s="44">
        <v>13</v>
      </c>
      <c r="B14" s="44" t="s">
        <v>76</v>
      </c>
      <c r="C14" s="44">
        <v>44</v>
      </c>
      <c r="D14" s="44">
        <v>12</v>
      </c>
      <c r="E14" s="44">
        <v>8</v>
      </c>
      <c r="F14" s="44">
        <v>18</v>
      </c>
      <c r="G14" s="44">
        <v>46</v>
      </c>
      <c r="H14" s="44">
        <v>57</v>
      </c>
      <c r="I14" s="44">
        <v>482</v>
      </c>
      <c r="J14" s="44">
        <v>159</v>
      </c>
      <c r="K14" s="44">
        <v>201</v>
      </c>
      <c r="L14" s="44">
        <v>519</v>
      </c>
      <c r="M14" s="44">
        <v>80</v>
      </c>
      <c r="N14" s="45">
        <v>3.2968421052631576</v>
      </c>
      <c r="O14" s="45">
        <v>3.460526315789473</v>
      </c>
      <c r="P14" s="45">
        <v>2.9652631578947366</v>
      </c>
      <c r="Q14" s="45">
        <v>3.3315789473684205</v>
      </c>
      <c r="R14" s="45">
        <v>3.4842105263157896</v>
      </c>
      <c r="S14" s="45">
        <v>2.9376315789473688</v>
      </c>
      <c r="T14" s="45">
        <v>3.2589473684210515</v>
      </c>
      <c r="U14" s="45">
        <v>3.4973684210526317</v>
      </c>
      <c r="V14" s="45">
        <v>2.9068421052631579</v>
      </c>
      <c r="W14" s="45">
        <v>3.6305263157894729</v>
      </c>
      <c r="X14" s="45">
        <v>3.5755263157894737</v>
      </c>
      <c r="Y14" s="45">
        <v>3.18</v>
      </c>
      <c r="Z14" s="45">
        <v>3.3989473684210525</v>
      </c>
      <c r="AA14" s="45">
        <v>3.3073684210526308</v>
      </c>
      <c r="AB14" s="45">
        <v>2.9976315789473689</v>
      </c>
    </row>
    <row r="15" spans="1:28">
      <c r="A15" s="44">
        <v>14</v>
      </c>
      <c r="B15" s="44" t="s">
        <v>74</v>
      </c>
      <c r="C15" s="44">
        <v>44</v>
      </c>
      <c r="D15" s="44">
        <v>11</v>
      </c>
      <c r="E15" s="44">
        <v>11</v>
      </c>
      <c r="F15" s="44">
        <v>16</v>
      </c>
      <c r="G15" s="44">
        <v>41</v>
      </c>
      <c r="H15" s="44">
        <v>50</v>
      </c>
      <c r="I15" s="44">
        <v>375</v>
      </c>
      <c r="J15" s="44">
        <v>135</v>
      </c>
      <c r="K15" s="44">
        <v>180</v>
      </c>
      <c r="L15" s="44">
        <v>605</v>
      </c>
      <c r="M15" s="44">
        <v>94</v>
      </c>
      <c r="N15" s="45">
        <v>4.5218421052631586</v>
      </c>
      <c r="O15" s="45">
        <v>3.5797368421052638</v>
      </c>
      <c r="P15" s="45">
        <v>2.3021052631578947</v>
      </c>
      <c r="Q15" s="45">
        <v>4.4736842105263159</v>
      </c>
      <c r="R15" s="45">
        <v>3.6249999999999991</v>
      </c>
      <c r="S15" s="45">
        <v>2.3165789473684213</v>
      </c>
      <c r="T15" s="45">
        <v>4.2157894736842101</v>
      </c>
      <c r="U15" s="45">
        <v>3.590263157894737</v>
      </c>
      <c r="V15" s="45">
        <v>2.3102631578947364</v>
      </c>
      <c r="W15" s="45">
        <v>5.0878947368421059</v>
      </c>
      <c r="X15" s="45">
        <v>3.7526315789473692</v>
      </c>
      <c r="Y15" s="45">
        <v>2.3994736842105264</v>
      </c>
      <c r="Z15" s="45">
        <v>4.5423684210526316</v>
      </c>
      <c r="AA15" s="45">
        <v>3.4652631578947357</v>
      </c>
      <c r="AB15" s="45">
        <v>2.3094736842105261</v>
      </c>
    </row>
    <row r="16" spans="1:28">
      <c r="A16" s="44">
        <v>15</v>
      </c>
      <c r="B16" s="44" t="s">
        <v>71</v>
      </c>
      <c r="C16" s="44">
        <v>39</v>
      </c>
      <c r="D16" s="44">
        <v>9</v>
      </c>
      <c r="E16" s="44">
        <v>12</v>
      </c>
      <c r="F16" s="44">
        <v>17</v>
      </c>
      <c r="G16" s="44">
        <v>34</v>
      </c>
      <c r="H16" s="44">
        <v>53</v>
      </c>
      <c r="I16" s="44">
        <v>468</v>
      </c>
      <c r="J16" s="44">
        <v>132</v>
      </c>
      <c r="K16" s="44">
        <v>171</v>
      </c>
      <c r="L16" s="44">
        <v>580</v>
      </c>
      <c r="M16" s="44">
        <v>99</v>
      </c>
      <c r="N16" s="45">
        <v>3.9549999999999996</v>
      </c>
      <c r="O16" s="45">
        <v>3.5307894736842096</v>
      </c>
      <c r="P16" s="45">
        <v>2.4807894736842102</v>
      </c>
      <c r="Q16" s="45">
        <v>4.1310526315789469</v>
      </c>
      <c r="R16" s="45">
        <v>3.5331578947368421</v>
      </c>
      <c r="S16" s="45">
        <v>2.4618421052631576</v>
      </c>
      <c r="T16" s="45">
        <v>4.0636842105263158</v>
      </c>
      <c r="U16" s="45">
        <v>3.5549999999999993</v>
      </c>
      <c r="V16" s="45">
        <v>2.4231578947368426</v>
      </c>
      <c r="W16" s="45">
        <v>4.5365789473684215</v>
      </c>
      <c r="X16" s="45">
        <v>3.6705263157894747</v>
      </c>
      <c r="Y16" s="45">
        <v>2.6389473684210532</v>
      </c>
      <c r="Z16" s="45">
        <v>4.0573684210526313</v>
      </c>
      <c r="AA16" s="45">
        <v>3.4302631578947373</v>
      </c>
      <c r="AB16" s="45">
        <v>2.4923684210526313</v>
      </c>
    </row>
    <row r="17" spans="1:28">
      <c r="A17" s="44">
        <v>16</v>
      </c>
      <c r="B17" s="44" t="s">
        <v>82</v>
      </c>
      <c r="C17" s="44">
        <v>36</v>
      </c>
      <c r="D17" s="44">
        <v>10</v>
      </c>
      <c r="E17" s="44">
        <v>6</v>
      </c>
      <c r="F17" s="44">
        <v>22</v>
      </c>
      <c r="G17" s="44">
        <v>34</v>
      </c>
      <c r="H17" s="44">
        <v>54</v>
      </c>
      <c r="I17" s="44">
        <v>413</v>
      </c>
      <c r="J17" s="44">
        <v>135</v>
      </c>
      <c r="K17" s="44">
        <v>190</v>
      </c>
      <c r="L17" s="44">
        <v>629</v>
      </c>
      <c r="M17" s="44">
        <v>103</v>
      </c>
      <c r="N17" s="45">
        <v>4.4702631578947356</v>
      </c>
      <c r="O17" s="45">
        <v>3.6034210526315777</v>
      </c>
      <c r="P17" s="45">
        <v>2.3410526315789468</v>
      </c>
      <c r="Q17" s="45">
        <v>4.5921052631578929</v>
      </c>
      <c r="R17" s="45">
        <v>3.6021052631578945</v>
      </c>
      <c r="S17" s="45">
        <v>2.3402631578947366</v>
      </c>
      <c r="T17" s="45">
        <v>4.4742105263157894</v>
      </c>
      <c r="U17" s="45">
        <v>3.5889473684210524</v>
      </c>
      <c r="V17" s="45">
        <v>2.3252631578947369</v>
      </c>
      <c r="W17" s="45">
        <v>5.2086842105263145</v>
      </c>
      <c r="X17" s="45">
        <v>3.7021052631578963</v>
      </c>
      <c r="Y17" s="45">
        <v>2.4713157894736844</v>
      </c>
      <c r="Z17" s="45">
        <v>4.5007894736842111</v>
      </c>
      <c r="AA17" s="45">
        <v>3.4473684210526323</v>
      </c>
      <c r="AB17" s="45">
        <v>2.3634210526315789</v>
      </c>
    </row>
    <row r="18" spans="1:28">
      <c r="A18" s="44">
        <v>17</v>
      </c>
      <c r="B18" s="44" t="s">
        <v>84</v>
      </c>
      <c r="C18" s="44">
        <v>34</v>
      </c>
      <c r="D18" s="44">
        <v>9</v>
      </c>
      <c r="E18" s="44">
        <v>7</v>
      </c>
      <c r="F18" s="44">
        <v>22</v>
      </c>
      <c r="G18" s="44">
        <v>43</v>
      </c>
      <c r="H18" s="44">
        <v>72</v>
      </c>
      <c r="I18" s="44">
        <v>492</v>
      </c>
      <c r="J18" s="44">
        <v>163</v>
      </c>
      <c r="K18" s="44">
        <v>199</v>
      </c>
      <c r="L18" s="44">
        <v>632</v>
      </c>
      <c r="M18" s="44">
        <v>97</v>
      </c>
      <c r="N18" s="45">
        <v>5.0971052631578937</v>
      </c>
      <c r="O18" s="45">
        <v>3.8131578947368423</v>
      </c>
      <c r="P18" s="45">
        <v>2.2094736842105265</v>
      </c>
      <c r="Q18" s="45">
        <v>5.3271052631578941</v>
      </c>
      <c r="R18" s="45">
        <v>3.8802631578947366</v>
      </c>
      <c r="S18" s="45">
        <v>2.1947368421052631</v>
      </c>
      <c r="T18" s="45">
        <v>5.1450000000000005</v>
      </c>
      <c r="U18" s="45">
        <v>3.8810526315789473</v>
      </c>
      <c r="V18" s="45">
        <v>2.1507894736842097</v>
      </c>
      <c r="W18" s="45">
        <v>5.3626315789473686</v>
      </c>
      <c r="X18" s="45">
        <v>3.8039473684210527</v>
      </c>
      <c r="Y18" s="45">
        <v>2.276842105263158</v>
      </c>
      <c r="Z18" s="45">
        <v>5.2336842105263166</v>
      </c>
      <c r="AA18" s="45">
        <v>3.5947368421052621</v>
      </c>
      <c r="AB18" s="45">
        <v>2.2436842105263151</v>
      </c>
    </row>
    <row r="19" spans="1:28">
      <c r="A19" s="48">
        <v>18</v>
      </c>
      <c r="B19" s="44" t="s">
        <v>86</v>
      </c>
      <c r="C19" s="44">
        <v>32</v>
      </c>
      <c r="D19" s="44">
        <v>8</v>
      </c>
      <c r="E19" s="44">
        <v>8</v>
      </c>
      <c r="F19" s="44">
        <v>22</v>
      </c>
      <c r="G19" s="44">
        <v>34</v>
      </c>
      <c r="H19" s="44">
        <v>66</v>
      </c>
      <c r="I19" s="44">
        <v>484</v>
      </c>
      <c r="J19" s="44">
        <v>146</v>
      </c>
      <c r="K19" s="44">
        <v>179</v>
      </c>
      <c r="L19" s="44">
        <v>641</v>
      </c>
      <c r="M19" s="44">
        <v>91</v>
      </c>
      <c r="N19" s="45">
        <v>4.7868421052631565</v>
      </c>
      <c r="O19" s="45">
        <v>3.7565789473684217</v>
      </c>
      <c r="P19" s="45">
        <v>2.2810526315789472</v>
      </c>
      <c r="Q19" s="45">
        <v>4.7699999999999996</v>
      </c>
      <c r="R19" s="45">
        <v>3.736842105263158</v>
      </c>
      <c r="S19" s="45">
        <v>2.2678947368421056</v>
      </c>
      <c r="T19" s="45">
        <v>4.6592105263157908</v>
      </c>
      <c r="U19" s="45">
        <v>3.7092105263157897</v>
      </c>
      <c r="V19" s="45">
        <v>2.2389473684210528</v>
      </c>
      <c r="W19" s="45">
        <v>5.5257894736842106</v>
      </c>
      <c r="X19" s="45">
        <v>3.9071052631578955</v>
      </c>
      <c r="Y19" s="45">
        <v>2.4097368421052625</v>
      </c>
      <c r="Z19" s="45">
        <v>4.8294736842105266</v>
      </c>
      <c r="AA19" s="45">
        <v>3.543421052631579</v>
      </c>
      <c r="AB19" s="45">
        <v>2.3063157894736843</v>
      </c>
    </row>
    <row r="20" spans="1:28">
      <c r="A20" s="48">
        <v>19</v>
      </c>
      <c r="B20" s="44" t="s">
        <v>80</v>
      </c>
      <c r="C20" s="44">
        <v>29</v>
      </c>
      <c r="D20" s="44">
        <v>5</v>
      </c>
      <c r="E20" s="44">
        <v>14</v>
      </c>
      <c r="F20" s="44">
        <v>19</v>
      </c>
      <c r="G20" s="44">
        <v>28</v>
      </c>
      <c r="H20" s="44">
        <v>58</v>
      </c>
      <c r="I20" s="44">
        <v>496</v>
      </c>
      <c r="J20" s="44">
        <v>158</v>
      </c>
      <c r="K20" s="44">
        <v>173</v>
      </c>
      <c r="L20" s="44">
        <v>595</v>
      </c>
      <c r="M20" s="44">
        <v>98</v>
      </c>
      <c r="N20" s="45">
        <v>4.6010526315789466</v>
      </c>
      <c r="O20" s="45">
        <v>3.6747368421052626</v>
      </c>
      <c r="P20" s="45">
        <v>2.2868421052631573</v>
      </c>
      <c r="Q20" s="45">
        <v>4.6889473684210516</v>
      </c>
      <c r="R20" s="45">
        <v>3.6750000000000003</v>
      </c>
      <c r="S20" s="45">
        <v>2.2955263157894739</v>
      </c>
      <c r="T20" s="45">
        <v>4.4450000000000003</v>
      </c>
      <c r="U20" s="45">
        <v>3.6371052631578951</v>
      </c>
      <c r="V20" s="45">
        <v>2.2792105263157891</v>
      </c>
      <c r="W20" s="45">
        <v>5.2839473684210532</v>
      </c>
      <c r="X20" s="45">
        <v>3.7857894736842108</v>
      </c>
      <c r="Y20" s="45">
        <v>2.4181578947368418</v>
      </c>
      <c r="Z20" s="45">
        <v>4.6186842105263164</v>
      </c>
      <c r="AA20" s="45">
        <v>3.5192105263157898</v>
      </c>
      <c r="AB20" s="45">
        <v>2.3123684210526316</v>
      </c>
    </row>
    <row r="21" spans="1:28">
      <c r="A21" s="48">
        <v>20</v>
      </c>
      <c r="B21" s="44" t="s">
        <v>77</v>
      </c>
      <c r="C21" s="44">
        <v>25</v>
      </c>
      <c r="D21" s="44">
        <v>6</v>
      </c>
      <c r="E21" s="44">
        <v>7</v>
      </c>
      <c r="F21" s="44">
        <v>25</v>
      </c>
      <c r="G21" s="44">
        <v>39</v>
      </c>
      <c r="H21" s="44">
        <v>77</v>
      </c>
      <c r="I21" s="44">
        <v>483</v>
      </c>
      <c r="J21" s="44">
        <v>142</v>
      </c>
      <c r="K21" s="44">
        <v>180</v>
      </c>
      <c r="L21" s="44">
        <v>574</v>
      </c>
      <c r="M21" s="44">
        <v>108</v>
      </c>
      <c r="N21" s="45">
        <v>5.6713157894736836</v>
      </c>
      <c r="O21" s="45">
        <v>3.8513157894736842</v>
      </c>
      <c r="P21" s="45">
        <v>2.0318421052631579</v>
      </c>
      <c r="Q21" s="45">
        <v>5.4144736842105274</v>
      </c>
      <c r="R21" s="45">
        <v>3.88421052631579</v>
      </c>
      <c r="S21" s="45">
        <v>2.0281578947368422</v>
      </c>
      <c r="T21" s="45">
        <v>5.181578947368422</v>
      </c>
      <c r="U21" s="45">
        <v>3.8521052631578954</v>
      </c>
      <c r="V21" s="45">
        <v>2.0531578947368412</v>
      </c>
      <c r="W21" s="45">
        <v>6.3205263157894738</v>
      </c>
      <c r="X21" s="45">
        <v>4.0626315789473688</v>
      </c>
      <c r="Y21" s="45">
        <v>2.1297368421052627</v>
      </c>
      <c r="Z21" s="45">
        <v>5.5205263157894748</v>
      </c>
      <c r="AA21" s="45">
        <v>3.6921052631578952</v>
      </c>
      <c r="AB21" s="45">
        <v>2.0602631578947364</v>
      </c>
    </row>
    <row r="24" spans="1:28">
      <c r="A24" s="21" t="s">
        <v>149</v>
      </c>
      <c r="B24" s="21"/>
      <c r="C24" s="27"/>
      <c r="D24" s="27"/>
    </row>
    <row r="25" spans="1:28" ht="15.75" thickBot="1"/>
    <row r="26" spans="1:28">
      <c r="A26" s="19"/>
      <c r="B26" s="19" t="s">
        <v>88</v>
      </c>
      <c r="C26" s="19" t="s">
        <v>90</v>
      </c>
      <c r="D26" s="19" t="s">
        <v>67</v>
      </c>
      <c r="E26" s="19" t="s">
        <v>91</v>
      </c>
      <c r="F26" s="19" t="s">
        <v>92</v>
      </c>
      <c r="G26" s="19" t="s">
        <v>93</v>
      </c>
      <c r="H26" s="19" t="s">
        <v>111</v>
      </c>
      <c r="I26" s="19" t="s">
        <v>94</v>
      </c>
      <c r="J26" s="19" t="s">
        <v>95</v>
      </c>
      <c r="K26" s="19" t="s">
        <v>96</v>
      </c>
      <c r="L26" s="19" t="s">
        <v>97</v>
      </c>
      <c r="M26" s="19" t="s">
        <v>99</v>
      </c>
      <c r="N26" s="19" t="s">
        <v>23</v>
      </c>
      <c r="O26" s="19" t="s">
        <v>98</v>
      </c>
      <c r="P26" s="19" t="s">
        <v>100</v>
      </c>
      <c r="Q26" s="19" t="s">
        <v>26</v>
      </c>
      <c r="R26" s="19" t="s">
        <v>101</v>
      </c>
      <c r="S26" s="19" t="s">
        <v>102</v>
      </c>
      <c r="T26" s="19" t="s">
        <v>32</v>
      </c>
      <c r="U26" s="19" t="s">
        <v>103</v>
      </c>
      <c r="V26" s="19" t="s">
        <v>104</v>
      </c>
      <c r="W26" s="19" t="s">
        <v>35</v>
      </c>
      <c r="X26" s="19" t="s">
        <v>105</v>
      </c>
      <c r="Y26" s="19" t="s">
        <v>106</v>
      </c>
      <c r="Z26" s="19" t="s">
        <v>38</v>
      </c>
      <c r="AA26" s="19" t="s">
        <v>107</v>
      </c>
    </row>
    <row r="27" spans="1:28">
      <c r="A27" s="17" t="s">
        <v>88</v>
      </c>
      <c r="B27" s="17">
        <v>1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1:28">
      <c r="A28" s="17" t="s">
        <v>90</v>
      </c>
      <c r="B28" s="24">
        <v>0.98882526268414772</v>
      </c>
      <c r="C28" s="17">
        <v>1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1:28">
      <c r="A29" s="17" t="s">
        <v>67</v>
      </c>
      <c r="B29" s="24">
        <v>-0.24604428736127271</v>
      </c>
      <c r="C29" s="17">
        <v>-0.38779107584882322</v>
      </c>
      <c r="D29" s="17">
        <v>1</v>
      </c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1:28">
      <c r="A30" s="17" t="s">
        <v>91</v>
      </c>
      <c r="B30" s="24">
        <v>-0.94658865604405529</v>
      </c>
      <c r="C30" s="22">
        <v>-0.88794114168602301</v>
      </c>
      <c r="D30" s="17">
        <v>-7.9628558577498149E-2</v>
      </c>
      <c r="E30" s="17">
        <v>1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1:28">
      <c r="A31" s="17" t="s">
        <v>92</v>
      </c>
      <c r="B31" s="24">
        <v>0.93387942984620698</v>
      </c>
      <c r="C31" s="22">
        <v>0.91929973901175388</v>
      </c>
      <c r="D31" s="17">
        <v>-0.20283399971181115</v>
      </c>
      <c r="E31" s="22">
        <v>-0.89296238082317603</v>
      </c>
      <c r="F31" s="17">
        <v>1</v>
      </c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1:28">
      <c r="A32" s="17" t="s">
        <v>93</v>
      </c>
      <c r="B32" s="24">
        <v>-0.87563698546696678</v>
      </c>
      <c r="C32" s="22">
        <v>-0.83197556927226113</v>
      </c>
      <c r="D32" s="17">
        <v>-4.8065779771422701E-3</v>
      </c>
      <c r="E32" s="22">
        <v>0.90213938179980835</v>
      </c>
      <c r="F32" s="17">
        <v>-0.70542184211951897</v>
      </c>
      <c r="G32" s="17">
        <v>1</v>
      </c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1:27">
      <c r="A33" s="17" t="s">
        <v>111</v>
      </c>
      <c r="B33" s="24">
        <v>0.67833445631384093</v>
      </c>
      <c r="C33" s="17">
        <v>0.65385269020262671</v>
      </c>
      <c r="D33" s="17">
        <v>-5.7012540383196912E-2</v>
      </c>
      <c r="E33" s="17">
        <v>-0.67866011472354548</v>
      </c>
      <c r="F33" s="17">
        <v>0.71333618740257454</v>
      </c>
      <c r="G33" s="17">
        <v>-0.54137583737403949</v>
      </c>
      <c r="H33" s="17">
        <v>1</v>
      </c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1:27">
      <c r="A34" s="17" t="s">
        <v>94</v>
      </c>
      <c r="B34" s="24">
        <v>0.84677844349811338</v>
      </c>
      <c r="C34" s="22">
        <v>0.82978503060107534</v>
      </c>
      <c r="D34" s="17">
        <v>-0.15938191425492942</v>
      </c>
      <c r="E34" s="22">
        <v>-0.81783943878174847</v>
      </c>
      <c r="F34" s="22">
        <v>0.8633119955097146</v>
      </c>
      <c r="G34" s="17">
        <v>-0.67583746829649305</v>
      </c>
      <c r="H34" s="22">
        <v>0.87766630889093977</v>
      </c>
      <c r="I34" s="17">
        <v>1</v>
      </c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1:27">
      <c r="A35" s="17" t="s">
        <v>95</v>
      </c>
      <c r="B35" s="24">
        <v>0.60283895377236241</v>
      </c>
      <c r="C35" s="17">
        <v>0.57844361109883247</v>
      </c>
      <c r="D35" s="17">
        <v>-3.3514140790119627E-2</v>
      </c>
      <c r="E35" s="17">
        <v>-0.6088347189748009</v>
      </c>
      <c r="F35" s="17">
        <v>0.63455838758987049</v>
      </c>
      <c r="G35" s="17">
        <v>-0.57950003284770335</v>
      </c>
      <c r="H35" s="17">
        <v>0.59062913216588186</v>
      </c>
      <c r="I35" s="17">
        <v>0.57339011676503138</v>
      </c>
      <c r="J35" s="17">
        <v>1</v>
      </c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1:27">
      <c r="A36" s="17" t="s">
        <v>96</v>
      </c>
      <c r="B36" s="24">
        <v>-0.53305986179936071</v>
      </c>
      <c r="C36" s="17">
        <v>-0.51317322235617469</v>
      </c>
      <c r="D36" s="17">
        <v>4.0589607424691476E-2</v>
      </c>
      <c r="E36" s="17">
        <v>0.53471728930530527</v>
      </c>
      <c r="F36" s="17">
        <v>-0.61539654758592355</v>
      </c>
      <c r="G36" s="17">
        <v>0.46501917177882962</v>
      </c>
      <c r="H36" s="17">
        <v>-0.37662438014482508</v>
      </c>
      <c r="I36" s="17">
        <v>-0.44890996353661522</v>
      </c>
      <c r="J36" s="17">
        <v>-0.51356530114458132</v>
      </c>
      <c r="K36" s="17">
        <v>1</v>
      </c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1:27">
      <c r="A37" s="17" t="s">
        <v>97</v>
      </c>
      <c r="B37" s="24">
        <v>-0.70802862708758163</v>
      </c>
      <c r="C37" s="17">
        <v>-0.70490768205305476</v>
      </c>
      <c r="D37" s="17">
        <v>0.20535631713984362</v>
      </c>
      <c r="E37" s="17">
        <v>0.65984921012147413</v>
      </c>
      <c r="F37" s="17">
        <v>-0.72600661636068398</v>
      </c>
      <c r="G37" s="17">
        <v>0.51313174277014673</v>
      </c>
      <c r="H37" s="17">
        <v>-0.47966545607475775</v>
      </c>
      <c r="I37" s="17">
        <v>-0.6560150622227805</v>
      </c>
      <c r="J37" s="17">
        <v>-0.49203355567000512</v>
      </c>
      <c r="K37" s="17">
        <v>0.60002197406385194</v>
      </c>
      <c r="L37" s="17">
        <v>1</v>
      </c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</row>
    <row r="38" spans="1:27">
      <c r="A38" s="17" t="s">
        <v>99</v>
      </c>
      <c r="B38" s="24">
        <v>-0.89522318060850581</v>
      </c>
      <c r="C38" s="22">
        <v>-0.8486472122685047</v>
      </c>
      <c r="D38" s="17">
        <v>-1.7513848050778456E-2</v>
      </c>
      <c r="E38" s="22">
        <v>0.92650994736735137</v>
      </c>
      <c r="F38" s="22">
        <v>-0.8481424306125922</v>
      </c>
      <c r="G38" s="22">
        <v>0.86337547738504428</v>
      </c>
      <c r="H38" s="17">
        <v>-0.78195584946402041</v>
      </c>
      <c r="I38" s="22">
        <v>-0.83592852351681912</v>
      </c>
      <c r="J38" s="17">
        <v>-0.67581526476955101</v>
      </c>
      <c r="K38" s="17">
        <v>0.54571799612130023</v>
      </c>
      <c r="L38" s="17">
        <v>0.70498660994318829</v>
      </c>
      <c r="M38" s="17">
        <v>1</v>
      </c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1:27">
      <c r="A39" s="17" t="s">
        <v>23</v>
      </c>
      <c r="B39" s="24">
        <v>0.67509538569727523</v>
      </c>
      <c r="C39" s="17">
        <v>0.7163941359814926</v>
      </c>
      <c r="D39" s="17">
        <v>-0.48366125730673859</v>
      </c>
      <c r="E39" s="17">
        <v>-0.5333955150058759</v>
      </c>
      <c r="F39" s="17">
        <v>0.57835126548452398</v>
      </c>
      <c r="G39" s="17">
        <v>-0.54647560585224608</v>
      </c>
      <c r="H39" s="17">
        <v>0.56512031042568212</v>
      </c>
      <c r="I39" s="17">
        <v>0.65363084882808242</v>
      </c>
      <c r="J39" s="17">
        <v>0.36266699940424263</v>
      </c>
      <c r="K39" s="17">
        <v>-0.12584152257965117</v>
      </c>
      <c r="L39" s="17">
        <v>-0.37107453555254394</v>
      </c>
      <c r="M39" s="17">
        <v>-0.46824685381541631</v>
      </c>
      <c r="N39" s="17">
        <v>1</v>
      </c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1:27">
      <c r="A40" s="17" t="s">
        <v>98</v>
      </c>
      <c r="B40" s="24">
        <v>0.92488557741767308</v>
      </c>
      <c r="C40" s="22">
        <v>0.91961234047903362</v>
      </c>
      <c r="D40" s="17">
        <v>-0.2604748535487269</v>
      </c>
      <c r="E40" s="22">
        <v>-0.86453733321655113</v>
      </c>
      <c r="F40" s="22">
        <v>0.83436498236496015</v>
      </c>
      <c r="G40" s="22">
        <v>-0.84170400685769953</v>
      </c>
      <c r="H40" s="22">
        <v>0.77509337361906816</v>
      </c>
      <c r="I40" s="22">
        <v>0.86744999247729826</v>
      </c>
      <c r="J40" s="17">
        <v>0.60401327587701537</v>
      </c>
      <c r="K40" s="17">
        <v>-0.39545561199294299</v>
      </c>
      <c r="L40" s="17">
        <v>-0.6287517000306303</v>
      </c>
      <c r="M40" s="22">
        <v>-0.87036614176812443</v>
      </c>
      <c r="N40" s="22">
        <v>0.83898387527338469</v>
      </c>
      <c r="O40" s="17">
        <v>1</v>
      </c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1:27">
      <c r="A41" s="17" t="s">
        <v>100</v>
      </c>
      <c r="B41" s="24">
        <v>-0.89735948910505603</v>
      </c>
      <c r="C41" s="22">
        <v>-0.85179060637070225</v>
      </c>
      <c r="D41" s="17">
        <v>-1.0285305534597493E-2</v>
      </c>
      <c r="E41" s="22">
        <v>0.92630229085343918</v>
      </c>
      <c r="F41" s="22">
        <v>-0.86027996715688226</v>
      </c>
      <c r="G41" s="22">
        <v>0.85580216547974675</v>
      </c>
      <c r="H41" s="22">
        <v>-0.79216675357810928</v>
      </c>
      <c r="I41" s="22">
        <v>-0.84359475092924252</v>
      </c>
      <c r="J41" s="17">
        <v>-0.67285386136453318</v>
      </c>
      <c r="K41" s="17">
        <v>0.55735024914871034</v>
      </c>
      <c r="L41" s="17">
        <v>0.70630618355251695</v>
      </c>
      <c r="M41" s="22">
        <v>0.99660752642037964</v>
      </c>
      <c r="N41" s="17">
        <v>-0.47762549189709036</v>
      </c>
      <c r="O41" s="22">
        <v>-0.87500319779972469</v>
      </c>
      <c r="P41" s="17">
        <v>1</v>
      </c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1:27">
      <c r="A42" s="17" t="s">
        <v>26</v>
      </c>
      <c r="B42" s="24">
        <v>0.67237380540457048</v>
      </c>
      <c r="C42" s="17">
        <v>0.71161840897652595</v>
      </c>
      <c r="D42" s="17">
        <v>-0.46943857896334984</v>
      </c>
      <c r="E42" s="17">
        <v>-0.53532799653118779</v>
      </c>
      <c r="F42" s="17">
        <v>0.585048633445449</v>
      </c>
      <c r="G42" s="17">
        <v>-0.54563099908286439</v>
      </c>
      <c r="H42" s="17">
        <v>0.55847317382615558</v>
      </c>
      <c r="I42" s="17">
        <v>0.65220055201836002</v>
      </c>
      <c r="J42" s="17">
        <v>0.36703030120122787</v>
      </c>
      <c r="K42" s="17">
        <v>-0.13998526055698615</v>
      </c>
      <c r="L42" s="17">
        <v>-0.36970042541611486</v>
      </c>
      <c r="M42" s="17">
        <v>-0.46947763194953279</v>
      </c>
      <c r="N42" s="22">
        <v>0.99685970233145138</v>
      </c>
      <c r="O42" s="22">
        <v>0.83909615248737812</v>
      </c>
      <c r="P42" s="17">
        <v>-0.47847007829960431</v>
      </c>
      <c r="Q42" s="17">
        <v>1</v>
      </c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1:27">
      <c r="A43" s="17" t="s">
        <v>101</v>
      </c>
      <c r="B43" s="24">
        <v>0.92413793888771478</v>
      </c>
      <c r="C43" s="22">
        <v>0.91931079883331135</v>
      </c>
      <c r="D43" s="17">
        <v>-0.26313694213532701</v>
      </c>
      <c r="E43" s="22">
        <v>-0.86288283347789319</v>
      </c>
      <c r="F43" s="22">
        <v>0.83525587680199365</v>
      </c>
      <c r="G43" s="22">
        <v>-0.83710218072592812</v>
      </c>
      <c r="H43" s="22">
        <v>0.77269322928341966</v>
      </c>
      <c r="I43" s="22">
        <v>0.86345816545648613</v>
      </c>
      <c r="J43" s="17">
        <v>0.60221634357284715</v>
      </c>
      <c r="K43" s="17">
        <v>-0.39646478911982747</v>
      </c>
      <c r="L43" s="17">
        <v>-0.63416703024714505</v>
      </c>
      <c r="M43" s="22">
        <v>-0.86807819676669096</v>
      </c>
      <c r="N43" s="22">
        <v>0.83953780120353094</v>
      </c>
      <c r="O43" s="22">
        <v>0.99935256337040956</v>
      </c>
      <c r="P43" s="22">
        <v>-0.87315749194736225</v>
      </c>
      <c r="Q43" s="22">
        <v>0.84053539772586039</v>
      </c>
      <c r="R43" s="17">
        <v>1</v>
      </c>
      <c r="S43" s="17"/>
      <c r="T43" s="17"/>
      <c r="U43" s="17"/>
      <c r="V43" s="17"/>
      <c r="W43" s="17"/>
      <c r="X43" s="17"/>
      <c r="Y43" s="17"/>
      <c r="Z43" s="17"/>
      <c r="AA43" s="17"/>
    </row>
    <row r="44" spans="1:27">
      <c r="A44" s="17" t="s">
        <v>102</v>
      </c>
      <c r="B44" s="24">
        <v>-0.90414101813216607</v>
      </c>
      <c r="C44" s="22">
        <v>-0.85982345754208478</v>
      </c>
      <c r="D44" s="22">
        <v>1.1598361649951104E-5</v>
      </c>
      <c r="E44" s="22">
        <v>0.92985121331958254</v>
      </c>
      <c r="F44" s="22">
        <v>-0.86532720714792954</v>
      </c>
      <c r="G44" s="22">
        <v>0.85877366526596133</v>
      </c>
      <c r="H44" s="22">
        <v>-0.78071562483219703</v>
      </c>
      <c r="I44" s="22">
        <v>-0.84460123672935217</v>
      </c>
      <c r="J44" s="17">
        <v>-0.66760407058410431</v>
      </c>
      <c r="K44" s="17">
        <v>0.57058785819761348</v>
      </c>
      <c r="L44" s="17">
        <v>0.72614230585715267</v>
      </c>
      <c r="M44" s="22">
        <v>0.99469004054583476</v>
      </c>
      <c r="N44" s="17">
        <v>-0.48311021005020777</v>
      </c>
      <c r="O44" s="22">
        <v>-0.87704449584513622</v>
      </c>
      <c r="P44" s="22">
        <v>0.99873161299473912</v>
      </c>
      <c r="Q44" s="17">
        <v>-0.48386862076310694</v>
      </c>
      <c r="R44" s="22">
        <v>-0.87539696568561409</v>
      </c>
      <c r="S44" s="17">
        <v>1</v>
      </c>
      <c r="T44" s="17"/>
      <c r="U44" s="17"/>
      <c r="V44" s="17"/>
      <c r="W44" s="17"/>
      <c r="X44" s="17"/>
      <c r="Y44" s="17"/>
      <c r="Z44" s="17"/>
      <c r="AA44" s="17"/>
    </row>
    <row r="45" spans="1:27">
      <c r="A45" s="17" t="s">
        <v>32</v>
      </c>
      <c r="B45" s="24">
        <v>0.67680770232865006</v>
      </c>
      <c r="C45" s="17">
        <v>0.7196406911658958</v>
      </c>
      <c r="D45" s="17">
        <v>-0.49418203112808767</v>
      </c>
      <c r="E45" s="17">
        <v>-0.53165658018613882</v>
      </c>
      <c r="F45" s="17">
        <v>0.59221805244797343</v>
      </c>
      <c r="G45" s="17">
        <v>-0.53132976803727583</v>
      </c>
      <c r="H45" s="17">
        <v>0.55241868794009841</v>
      </c>
      <c r="I45" s="17">
        <v>0.65053916225055253</v>
      </c>
      <c r="J45" s="17">
        <v>0.3553492194837386</v>
      </c>
      <c r="K45" s="17">
        <v>-0.13479547536272549</v>
      </c>
      <c r="L45" s="17">
        <v>-0.38343108393072234</v>
      </c>
      <c r="M45" s="17">
        <v>-0.45980473539444783</v>
      </c>
      <c r="N45" s="22">
        <v>0.99516896827200663</v>
      </c>
      <c r="O45" s="22">
        <v>0.83218744150483381</v>
      </c>
      <c r="P45" s="17">
        <v>-0.46780633569780544</v>
      </c>
      <c r="Q45" s="22">
        <v>0.99696861560538119</v>
      </c>
      <c r="R45" s="22">
        <v>0.83326200666068628</v>
      </c>
      <c r="S45" s="17">
        <v>-0.47349208123847963</v>
      </c>
      <c r="T45" s="17">
        <v>1</v>
      </c>
      <c r="U45" s="17"/>
      <c r="V45" s="17"/>
      <c r="W45" s="17"/>
      <c r="X45" s="17"/>
      <c r="Y45" s="17"/>
      <c r="Z45" s="17"/>
      <c r="AA45" s="17"/>
    </row>
    <row r="46" spans="1:27">
      <c r="A46" s="17" t="s">
        <v>103</v>
      </c>
      <c r="B46" s="24">
        <v>0.92889568100945941</v>
      </c>
      <c r="C46" s="22">
        <v>0.92526037859404309</v>
      </c>
      <c r="D46" s="17">
        <v>-0.2724021218218538</v>
      </c>
      <c r="E46" s="22">
        <v>-0.86469363603423899</v>
      </c>
      <c r="F46" s="22">
        <v>0.83618803471219472</v>
      </c>
      <c r="G46" s="22">
        <v>-0.84486126351361079</v>
      </c>
      <c r="H46" s="22">
        <v>0.77274117366036221</v>
      </c>
      <c r="I46" s="22">
        <v>0.86711827407193476</v>
      </c>
      <c r="J46" s="17">
        <v>0.60062489898430937</v>
      </c>
      <c r="K46" s="17">
        <v>-0.40245021331699865</v>
      </c>
      <c r="L46" s="17">
        <v>-0.62876996581366962</v>
      </c>
      <c r="M46" s="17">
        <v>-0.86880249859216241</v>
      </c>
      <c r="N46" s="22">
        <v>0.83974843394599685</v>
      </c>
      <c r="O46" s="22">
        <v>0.99955742466895858</v>
      </c>
      <c r="P46" s="22">
        <v>-0.87403517159994548</v>
      </c>
      <c r="Q46" s="22">
        <v>0.83891700729616658</v>
      </c>
      <c r="R46" s="22">
        <v>0.99852115238628902</v>
      </c>
      <c r="S46" s="22">
        <v>-0.87672306426984625</v>
      </c>
      <c r="T46" s="22">
        <v>0.83267064709323768</v>
      </c>
      <c r="U46" s="17">
        <v>1</v>
      </c>
      <c r="V46" s="17"/>
      <c r="W46" s="17"/>
      <c r="X46" s="17"/>
      <c r="Y46" s="17"/>
      <c r="Z46" s="17"/>
      <c r="AA46" s="17"/>
    </row>
    <row r="47" spans="1:27">
      <c r="A47" s="17" t="s">
        <v>104</v>
      </c>
      <c r="B47" s="24">
        <v>-0.89857253345314048</v>
      </c>
      <c r="C47" s="22">
        <v>-0.85294500290291564</v>
      </c>
      <c r="D47" s="17">
        <v>-1.0280017059606305E-2</v>
      </c>
      <c r="E47" s="22">
        <v>0.9275480752433467</v>
      </c>
      <c r="F47" s="22">
        <v>-0.86516446321346141</v>
      </c>
      <c r="G47" s="22">
        <v>0.8505468481256454</v>
      </c>
      <c r="H47" s="22">
        <v>-0.79882166151020462</v>
      </c>
      <c r="I47" s="22">
        <v>-0.85340849819675113</v>
      </c>
      <c r="J47" s="17">
        <v>-0.70202161449471667</v>
      </c>
      <c r="K47" s="17">
        <v>0.54941302500186961</v>
      </c>
      <c r="L47" s="17">
        <v>0.7051461662393127</v>
      </c>
      <c r="M47" s="22">
        <v>0.99663145385369134</v>
      </c>
      <c r="N47" s="17">
        <v>-0.48241468915357449</v>
      </c>
      <c r="O47" s="22">
        <v>-0.87554142739917118</v>
      </c>
      <c r="P47" s="22">
        <v>0.99296840994971736</v>
      </c>
      <c r="Q47" s="17">
        <v>-0.48700983757472177</v>
      </c>
      <c r="R47" s="22">
        <v>-0.87308735575657159</v>
      </c>
      <c r="S47" s="22">
        <v>0.99089517475842404</v>
      </c>
      <c r="T47" s="17">
        <v>-0.47910528772174921</v>
      </c>
      <c r="U47" s="22">
        <v>-0.87360730566842659</v>
      </c>
      <c r="V47" s="17">
        <v>1</v>
      </c>
      <c r="W47" s="17"/>
      <c r="X47" s="17"/>
      <c r="Y47" s="17"/>
      <c r="Z47" s="17"/>
      <c r="AA47" s="17"/>
    </row>
    <row r="48" spans="1:27">
      <c r="A48" s="17" t="s">
        <v>35</v>
      </c>
      <c r="B48" s="24">
        <v>0.69827937486881109</v>
      </c>
      <c r="C48" s="17">
        <v>0.73285287826428169</v>
      </c>
      <c r="D48" s="17">
        <v>-0.44732484645109188</v>
      </c>
      <c r="E48" s="17">
        <v>-0.56932691323930718</v>
      </c>
      <c r="F48" s="17">
        <v>0.61449353540938689</v>
      </c>
      <c r="G48" s="17">
        <v>-0.57302519488758041</v>
      </c>
      <c r="H48" s="17">
        <v>0.58077950765191555</v>
      </c>
      <c r="I48" s="17">
        <v>0.67467346472647527</v>
      </c>
      <c r="J48" s="17">
        <v>0.33440904579568798</v>
      </c>
      <c r="K48" s="17">
        <v>-0.18377431401967981</v>
      </c>
      <c r="L48" s="17">
        <v>-0.39188663444925098</v>
      </c>
      <c r="M48" s="17">
        <v>-0.50228542815440858</v>
      </c>
      <c r="N48" s="22">
        <v>0.98785924163567296</v>
      </c>
      <c r="O48" s="22">
        <v>0.85444310125410727</v>
      </c>
      <c r="P48" s="17">
        <v>-0.51990193296354437</v>
      </c>
      <c r="Q48" s="22">
        <v>0.98514565526699605</v>
      </c>
      <c r="R48" s="22">
        <v>0.8546016956339566</v>
      </c>
      <c r="S48" s="17">
        <v>-0.52627868266178046</v>
      </c>
      <c r="T48" s="22">
        <v>0.979747712216124</v>
      </c>
      <c r="U48" s="22">
        <v>0.85585000441684123</v>
      </c>
      <c r="V48" s="17">
        <v>-0.51135776177478953</v>
      </c>
      <c r="W48" s="17">
        <v>1</v>
      </c>
      <c r="X48" s="17"/>
      <c r="Y48" s="17"/>
      <c r="Z48" s="17"/>
      <c r="AA48" s="17"/>
    </row>
    <row r="49" spans="1:27">
      <c r="A49" s="17" t="s">
        <v>105</v>
      </c>
      <c r="B49" s="24">
        <v>0.92271262736146797</v>
      </c>
      <c r="C49" s="22">
        <v>0.91993530159982673</v>
      </c>
      <c r="D49" s="17">
        <v>-0.27600984501186399</v>
      </c>
      <c r="E49" s="22">
        <v>-0.85713455160685226</v>
      </c>
      <c r="F49" s="22">
        <v>0.82689609089516825</v>
      </c>
      <c r="G49" s="22">
        <v>-0.83933756859834063</v>
      </c>
      <c r="H49" s="22">
        <v>0.76560162821416722</v>
      </c>
      <c r="I49" s="22">
        <v>0.85966622608372378</v>
      </c>
      <c r="J49" s="17">
        <v>0.59153039614376479</v>
      </c>
      <c r="K49" s="17">
        <v>-0.38672774131187621</v>
      </c>
      <c r="L49" s="17">
        <v>-0.62004454850161705</v>
      </c>
      <c r="M49" s="22">
        <v>-0.85764441222764587</v>
      </c>
      <c r="N49" s="22">
        <v>0.8513236530060152</v>
      </c>
      <c r="O49" s="22">
        <v>0.99950828494194832</v>
      </c>
      <c r="P49" s="22">
        <v>-0.86253286361166837</v>
      </c>
      <c r="Q49" s="22">
        <v>0.85071974943948026</v>
      </c>
      <c r="R49" s="22">
        <v>0.99888280762343873</v>
      </c>
      <c r="S49" s="22">
        <v>-0.86486502994627101</v>
      </c>
      <c r="T49" s="22">
        <v>0.84454799048293305</v>
      </c>
      <c r="U49" s="22">
        <v>0.99947449172620373</v>
      </c>
      <c r="V49" s="22">
        <v>-0.86243409592098241</v>
      </c>
      <c r="W49" s="22">
        <v>0.86573818671355907</v>
      </c>
      <c r="X49" s="17">
        <v>1</v>
      </c>
      <c r="Y49" s="17"/>
      <c r="Z49" s="17"/>
      <c r="AA49" s="17"/>
    </row>
    <row r="50" spans="1:27">
      <c r="A50" s="17" t="s">
        <v>106</v>
      </c>
      <c r="B50" s="24">
        <v>-0.89768805022659481</v>
      </c>
      <c r="C50" s="22">
        <v>-0.85070460149104887</v>
      </c>
      <c r="D50" s="17">
        <v>-1.9377587523400307E-2</v>
      </c>
      <c r="E50" s="22">
        <v>0.92966492964685676</v>
      </c>
      <c r="F50" s="22">
        <v>-0.85464304878007502</v>
      </c>
      <c r="G50" s="22">
        <v>0.86421487437722411</v>
      </c>
      <c r="H50" s="22">
        <v>-0.79127658300881587</v>
      </c>
      <c r="I50" s="22">
        <v>-0.84348737539115659</v>
      </c>
      <c r="J50" s="17">
        <v>-0.67255873893505402</v>
      </c>
      <c r="K50" s="17">
        <v>0.54645312338374896</v>
      </c>
      <c r="L50" s="17">
        <v>0.69209332550749991</v>
      </c>
      <c r="M50" s="22">
        <v>0.99864159105639994</v>
      </c>
      <c r="N50" s="17">
        <v>-0.48430406554389949</v>
      </c>
      <c r="O50" s="22">
        <v>-0.87928881217535082</v>
      </c>
      <c r="P50" s="22">
        <v>0.99855412851258962</v>
      </c>
      <c r="Q50" s="17">
        <v>-0.48547302215722027</v>
      </c>
      <c r="R50" s="22">
        <v>-0.87702576428395829</v>
      </c>
      <c r="S50" s="22">
        <v>0.99638849108771177</v>
      </c>
      <c r="T50" s="17">
        <v>-0.47452812716535808</v>
      </c>
      <c r="U50" s="22">
        <v>-0.87791826189710565</v>
      </c>
      <c r="V50" s="22">
        <v>0.99489773514965574</v>
      </c>
      <c r="W50" s="17">
        <v>-0.52270622685683332</v>
      </c>
      <c r="X50" s="22">
        <v>-0.86695096298909913</v>
      </c>
      <c r="Y50" s="17">
        <v>1</v>
      </c>
      <c r="Z50" s="17"/>
      <c r="AA50" s="17"/>
    </row>
    <row r="51" spans="1:27">
      <c r="A51" s="17" t="s">
        <v>38</v>
      </c>
      <c r="B51" s="24">
        <v>0.65255874817702564</v>
      </c>
      <c r="C51" s="17">
        <v>0.69512309043562603</v>
      </c>
      <c r="D51" s="17">
        <v>-0.48470728665233415</v>
      </c>
      <c r="E51" s="17">
        <v>-0.509869945434553</v>
      </c>
      <c r="F51" s="17">
        <v>0.54966830688563784</v>
      </c>
      <c r="G51" s="17">
        <v>-0.52706323342129147</v>
      </c>
      <c r="H51" s="17">
        <v>0.52096584017824021</v>
      </c>
      <c r="I51" s="17">
        <v>0.60817548002046307</v>
      </c>
      <c r="J51" s="17">
        <v>0.29300878614874232</v>
      </c>
      <c r="K51" s="17">
        <v>-9.8308959234422275E-2</v>
      </c>
      <c r="L51" s="17">
        <v>-0.32990552219201547</v>
      </c>
      <c r="M51" s="17">
        <v>-0.43043739454464319</v>
      </c>
      <c r="N51" s="22">
        <v>0.99383023079163435</v>
      </c>
      <c r="O51" s="22">
        <v>0.81479834217111768</v>
      </c>
      <c r="P51" s="17">
        <v>-0.44162468008713923</v>
      </c>
      <c r="Q51" s="22">
        <v>0.99117150562481049</v>
      </c>
      <c r="R51" s="22">
        <v>0.81583393748903799</v>
      </c>
      <c r="S51" s="17">
        <v>-0.44811458822396633</v>
      </c>
      <c r="T51" s="22">
        <v>0.99078923094973914</v>
      </c>
      <c r="U51" s="22">
        <v>0.81664562839105226</v>
      </c>
      <c r="V51" s="17">
        <v>-0.44198841183026738</v>
      </c>
      <c r="W51" s="22">
        <v>0.98599411552017402</v>
      </c>
      <c r="X51" s="22">
        <v>0.82898106913748504</v>
      </c>
      <c r="Y51" s="17">
        <v>-0.44854306121496579</v>
      </c>
      <c r="Z51" s="17">
        <v>1</v>
      </c>
      <c r="AA51" s="17"/>
    </row>
    <row r="52" spans="1:27" ht="15.75" thickBot="1">
      <c r="A52" s="18" t="s">
        <v>107</v>
      </c>
      <c r="B52" s="25">
        <v>0.92394289599286528</v>
      </c>
      <c r="C52" s="23">
        <v>0.91930074919704785</v>
      </c>
      <c r="D52" s="18">
        <v>-0.26427754119725694</v>
      </c>
      <c r="E52" s="23">
        <v>-0.86230279993021397</v>
      </c>
      <c r="F52" s="23">
        <v>0.83362283080684763</v>
      </c>
      <c r="G52" s="23">
        <v>-0.83990642355804368</v>
      </c>
      <c r="H52" s="23">
        <v>0.77544816133125571</v>
      </c>
      <c r="I52" s="23">
        <v>0.86702512224313</v>
      </c>
      <c r="J52" s="18">
        <v>0.60916273374189522</v>
      </c>
      <c r="K52" s="18">
        <v>-0.39631991137673184</v>
      </c>
      <c r="L52" s="18">
        <v>-0.62958040291883854</v>
      </c>
      <c r="M52" s="23">
        <v>-0.86788576036996523</v>
      </c>
      <c r="N52" s="23">
        <v>0.84154523422569283</v>
      </c>
      <c r="O52" s="23">
        <v>0.99985989933007891</v>
      </c>
      <c r="P52" s="23">
        <v>-0.87266560925633352</v>
      </c>
      <c r="Q52" s="23">
        <v>0.84150696093522737</v>
      </c>
      <c r="R52" s="23">
        <v>0.99949291900552917</v>
      </c>
      <c r="S52" s="23">
        <v>-0.87474673975017225</v>
      </c>
      <c r="T52" s="23">
        <v>0.83448247832535705</v>
      </c>
      <c r="U52" s="23">
        <v>0.99931632260504111</v>
      </c>
      <c r="V52" s="23">
        <v>-0.87316560597155435</v>
      </c>
      <c r="W52" s="23">
        <v>0.85610579193190472</v>
      </c>
      <c r="X52" s="23">
        <v>0.99945632451334687</v>
      </c>
      <c r="Y52" s="23">
        <v>-0.87678023382431702</v>
      </c>
      <c r="Z52" s="23">
        <v>0.81695522614200178</v>
      </c>
      <c r="AA52" s="1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2:V145"/>
  <sheetViews>
    <sheetView topLeftCell="I30" workbookViewId="0">
      <selection activeCell="N42" sqref="N42"/>
    </sheetView>
  </sheetViews>
  <sheetFormatPr defaultRowHeight="15"/>
  <cols>
    <col min="1" max="1" width="9.42578125" bestFit="1" customWidth="1"/>
    <col min="8" max="8" width="7.5703125" bestFit="1" customWidth="1"/>
    <col min="9" max="9" width="7.140625" bestFit="1" customWidth="1"/>
    <col min="10" max="10" width="7.85546875" customWidth="1"/>
    <col min="11" max="11" width="5.7109375" customWidth="1"/>
    <col min="12" max="12" width="18" bestFit="1" customWidth="1"/>
    <col min="13" max="13" width="11" customWidth="1"/>
    <col min="14" max="14" width="14.5703125" bestFit="1" customWidth="1"/>
    <col min="17" max="17" width="11.5703125" customWidth="1"/>
    <col min="19" max="20" width="12.7109375" bestFit="1" customWidth="1"/>
  </cols>
  <sheetData>
    <row r="2" spans="1:22">
      <c r="A2" s="28" t="s">
        <v>415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30"/>
      <c r="O2" s="30"/>
      <c r="P2" s="30"/>
      <c r="Q2" s="30"/>
      <c r="R2" s="30"/>
      <c r="S2" s="30"/>
      <c r="T2" s="30"/>
      <c r="U2" s="30"/>
      <c r="V2" s="30"/>
    </row>
    <row r="4" spans="1:22">
      <c r="B4" t="s">
        <v>150</v>
      </c>
      <c r="C4" t="s">
        <v>151</v>
      </c>
      <c r="D4" t="s">
        <v>152</v>
      </c>
      <c r="E4" t="s">
        <v>153</v>
      </c>
      <c r="F4" t="s">
        <v>154</v>
      </c>
      <c r="G4" t="s">
        <v>155</v>
      </c>
      <c r="L4" t="s">
        <v>129</v>
      </c>
    </row>
    <row r="5" spans="1:22" ht="15.75" thickBot="1">
      <c r="A5" s="34" t="str">
        <f t="array" ref="A5:A25">League!B1:B21</f>
        <v>Team</v>
      </c>
      <c r="B5" s="8" t="s">
        <v>88</v>
      </c>
      <c r="C5" s="8" t="s">
        <v>157</v>
      </c>
      <c r="D5" s="8" t="s">
        <v>156</v>
      </c>
      <c r="E5" s="8" t="s">
        <v>95</v>
      </c>
      <c r="F5" s="8" t="s">
        <v>96</v>
      </c>
      <c r="G5" s="8" t="s">
        <v>97</v>
      </c>
      <c r="H5" s="9" t="s">
        <v>170</v>
      </c>
      <c r="I5" s="32" t="s">
        <v>174</v>
      </c>
      <c r="J5" s="32" t="s">
        <v>175</v>
      </c>
      <c r="U5" s="71" t="s">
        <v>436</v>
      </c>
    </row>
    <row r="6" spans="1:22">
      <c r="A6" s="34" t="str">
        <v>Juventus</v>
      </c>
      <c r="B6" s="8">
        <f t="array" ref="B6:B25">League!C2:C21</f>
        <v>102</v>
      </c>
      <c r="C6" s="29">
        <f t="array" ref="C6:C25">League!H2:H21/38</f>
        <v>0.60526315789473684</v>
      </c>
      <c r="D6" s="29">
        <f t="array" ref="D6:D25">League!G2:G21/League!I2:I21*100</f>
        <v>13.2890365448505</v>
      </c>
      <c r="E6" s="8">
        <f t="array" ref="E6:G25">League!K2:M21</f>
        <v>220</v>
      </c>
      <c r="F6" s="8">
        <v>566</v>
      </c>
      <c r="G6" s="8">
        <v>69</v>
      </c>
      <c r="H6" s="31">
        <f t="shared" ref="H6:H25" si="0">(C6*$M$32)+(D6*$M$33)+(E6*$M$34)+(F6*$M$35)+(G6*$M$36)+$M$31</f>
        <v>93.165165842534279</v>
      </c>
      <c r="I6" s="33">
        <f t="shared" ref="I6:I25" si="1">H6+$P$22</f>
        <v>96.256116270508002</v>
      </c>
      <c r="J6" s="33">
        <f t="shared" ref="J6:J25" si="2">H6-$P$22</f>
        <v>90.074215414560555</v>
      </c>
      <c r="K6" s="6"/>
      <c r="L6" s="19"/>
      <c r="M6" s="19" t="s">
        <v>157</v>
      </c>
      <c r="N6" s="19" t="s">
        <v>156</v>
      </c>
      <c r="O6" s="19" t="s">
        <v>95</v>
      </c>
      <c r="P6" s="19" t="s">
        <v>96</v>
      </c>
      <c r="Q6" s="19" t="s">
        <v>97</v>
      </c>
      <c r="U6" s="72">
        <f>B6-H6</f>
        <v>8.8348341574657212</v>
      </c>
    </row>
    <row r="7" spans="1:22">
      <c r="A7" s="34" t="str">
        <v>Roma</v>
      </c>
      <c r="B7" s="8">
        <v>85</v>
      </c>
      <c r="C7" s="29">
        <v>0.65789473684210531</v>
      </c>
      <c r="D7" s="29">
        <v>12.162162162162163</v>
      </c>
      <c r="E7" s="8">
        <v>213</v>
      </c>
      <c r="F7" s="8">
        <v>487</v>
      </c>
      <c r="G7" s="8">
        <v>82</v>
      </c>
      <c r="H7" s="31">
        <f t="shared" si="0"/>
        <v>81.228413874526154</v>
      </c>
      <c r="I7" s="33">
        <f t="shared" si="1"/>
        <v>84.319364302499878</v>
      </c>
      <c r="J7" s="33">
        <f t="shared" si="2"/>
        <v>78.137463446552431</v>
      </c>
      <c r="K7" s="6"/>
      <c r="L7" s="17" t="s">
        <v>157</v>
      </c>
      <c r="M7" s="17">
        <v>1</v>
      </c>
      <c r="N7" s="17"/>
      <c r="O7" s="17"/>
      <c r="P7" s="17"/>
      <c r="Q7" s="17"/>
      <c r="U7" s="72">
        <f t="shared" ref="U7:U25" si="3">B7-H7</f>
        <v>3.7715861254738456</v>
      </c>
    </row>
    <row r="8" spans="1:22">
      <c r="A8" s="34" t="str">
        <v>Napoli</v>
      </c>
      <c r="B8" s="8">
        <v>78</v>
      </c>
      <c r="C8" s="29">
        <v>1.0263157894736843</v>
      </c>
      <c r="D8" s="29">
        <v>13.344887348353554</v>
      </c>
      <c r="E8" s="8">
        <v>185</v>
      </c>
      <c r="F8" s="8">
        <v>473</v>
      </c>
      <c r="G8" s="8">
        <v>73</v>
      </c>
      <c r="H8" s="31">
        <f t="shared" si="0"/>
        <v>75.412509019229105</v>
      </c>
      <c r="I8" s="33">
        <f t="shared" si="1"/>
        <v>78.503459447202829</v>
      </c>
      <c r="J8" s="33">
        <f t="shared" si="2"/>
        <v>72.321558591255382</v>
      </c>
      <c r="K8" s="6"/>
      <c r="L8" s="17" t="s">
        <v>156</v>
      </c>
      <c r="M8" s="17">
        <v>-0.58123547999742831</v>
      </c>
      <c r="N8" s="17">
        <v>1</v>
      </c>
      <c r="O8" s="17"/>
      <c r="P8" s="17"/>
      <c r="Q8" s="17"/>
      <c r="U8" s="72">
        <f t="shared" si="3"/>
        <v>2.5874909807708946</v>
      </c>
    </row>
    <row r="9" spans="1:22">
      <c r="A9" s="34" t="str">
        <v>Fiorentina</v>
      </c>
      <c r="B9" s="8">
        <v>65</v>
      </c>
      <c r="C9" s="29">
        <v>1.1578947368421053</v>
      </c>
      <c r="D9" s="29">
        <v>11.324041811846691</v>
      </c>
      <c r="E9" s="8">
        <v>212</v>
      </c>
      <c r="F9" s="8">
        <v>463</v>
      </c>
      <c r="G9" s="8">
        <v>83</v>
      </c>
      <c r="H9" s="31">
        <f t="shared" si="0"/>
        <v>61.865133441957347</v>
      </c>
      <c r="I9" s="33">
        <f t="shared" si="1"/>
        <v>64.956083869931078</v>
      </c>
      <c r="J9" s="33">
        <f t="shared" si="2"/>
        <v>58.774183013983617</v>
      </c>
      <c r="K9" s="6"/>
      <c r="L9" s="17" t="s">
        <v>95</v>
      </c>
      <c r="M9" s="17">
        <v>-0.57950003284770324</v>
      </c>
      <c r="N9" s="17">
        <v>0.50096892003361315</v>
      </c>
      <c r="O9" s="17">
        <v>1</v>
      </c>
      <c r="P9" s="17"/>
      <c r="Q9" s="17"/>
      <c r="U9" s="72">
        <f t="shared" si="3"/>
        <v>3.1348665580426527</v>
      </c>
    </row>
    <row r="10" spans="1:22">
      <c r="A10" s="34" t="str">
        <v>Inter</v>
      </c>
      <c r="B10" s="8">
        <v>60</v>
      </c>
      <c r="C10" s="29">
        <v>1.0263157894736843</v>
      </c>
      <c r="D10" s="29">
        <v>11.355311355311356</v>
      </c>
      <c r="E10" s="8">
        <v>230</v>
      </c>
      <c r="F10" s="8">
        <v>503</v>
      </c>
      <c r="G10" s="8">
        <v>70</v>
      </c>
      <c r="H10" s="31">
        <f t="shared" si="0"/>
        <v>71.529380742320853</v>
      </c>
      <c r="I10" s="33">
        <f t="shared" si="1"/>
        <v>74.620331170294577</v>
      </c>
      <c r="J10" s="33">
        <f t="shared" si="2"/>
        <v>68.43843031434713</v>
      </c>
      <c r="K10" s="6"/>
      <c r="L10" s="17" t="s">
        <v>96</v>
      </c>
      <c r="M10" s="17">
        <v>0.46501917177882951</v>
      </c>
      <c r="N10" s="17">
        <v>-0.59447739488451501</v>
      </c>
      <c r="O10" s="17">
        <v>-0.51356530114458132</v>
      </c>
      <c r="P10" s="17">
        <v>1</v>
      </c>
      <c r="Q10" s="17"/>
      <c r="U10" s="72">
        <f t="shared" si="3"/>
        <v>-11.529380742320853</v>
      </c>
    </row>
    <row r="11" spans="1:22" ht="15.75" thickBot="1">
      <c r="A11" s="34" t="str">
        <v>Parma</v>
      </c>
      <c r="B11" s="8">
        <v>58</v>
      </c>
      <c r="C11" s="29">
        <v>1.2105263157894737</v>
      </c>
      <c r="D11" s="29">
        <v>11.740890688259109</v>
      </c>
      <c r="E11" s="8">
        <v>195</v>
      </c>
      <c r="F11" s="8">
        <v>616</v>
      </c>
      <c r="G11" s="8">
        <v>98</v>
      </c>
      <c r="H11" s="31">
        <f t="shared" si="0"/>
        <v>61.505382353211893</v>
      </c>
      <c r="I11" s="33">
        <f t="shared" si="1"/>
        <v>64.596332781185623</v>
      </c>
      <c r="J11" s="33">
        <f t="shared" si="2"/>
        <v>58.414431925238162</v>
      </c>
      <c r="K11" s="6"/>
      <c r="L11" s="18" t="s">
        <v>97</v>
      </c>
      <c r="M11" s="18">
        <v>0.51313174277014673</v>
      </c>
      <c r="N11" s="18">
        <v>-0.68715701547161545</v>
      </c>
      <c r="O11" s="18">
        <v>-0.49203355567000512</v>
      </c>
      <c r="P11" s="18">
        <v>0.60002197406385194</v>
      </c>
      <c r="Q11" s="18">
        <v>1</v>
      </c>
      <c r="U11" s="72">
        <f t="shared" si="3"/>
        <v>-3.5053823532118926</v>
      </c>
    </row>
    <row r="12" spans="1:22">
      <c r="A12" s="34" t="str">
        <v>Torino</v>
      </c>
      <c r="B12" s="8">
        <v>57</v>
      </c>
      <c r="C12" s="29">
        <v>1.263157894736842</v>
      </c>
      <c r="D12" s="29">
        <v>11.530815109343937</v>
      </c>
      <c r="E12" s="8">
        <v>222</v>
      </c>
      <c r="F12" s="8">
        <v>483</v>
      </c>
      <c r="G12" s="8">
        <v>94</v>
      </c>
      <c r="H12" s="31">
        <f t="shared" si="0"/>
        <v>57.054358865718896</v>
      </c>
      <c r="I12" s="33">
        <f t="shared" si="1"/>
        <v>60.145309293692627</v>
      </c>
      <c r="J12" s="33">
        <f t="shared" si="2"/>
        <v>53.963408437745166</v>
      </c>
      <c r="K12" s="6"/>
      <c r="U12" s="72">
        <f t="shared" si="3"/>
        <v>-5.4358865718896254E-2</v>
      </c>
    </row>
    <row r="13" spans="1:22">
      <c r="A13" s="34" t="str">
        <v>Milan</v>
      </c>
      <c r="B13" s="8">
        <v>57</v>
      </c>
      <c r="C13" s="29">
        <v>1.2894736842105263</v>
      </c>
      <c r="D13" s="29">
        <v>9.193548387096774</v>
      </c>
      <c r="E13" s="8">
        <v>223</v>
      </c>
      <c r="F13" s="8">
        <v>570</v>
      </c>
      <c r="G13" s="8">
        <v>84</v>
      </c>
      <c r="H13" s="31">
        <f t="shared" si="0"/>
        <v>53.635249627360594</v>
      </c>
      <c r="I13" s="33">
        <f t="shared" si="1"/>
        <v>56.726200055334324</v>
      </c>
      <c r="J13" s="33">
        <f t="shared" si="2"/>
        <v>50.544299199386863</v>
      </c>
      <c r="K13" s="6"/>
      <c r="L13" t="s">
        <v>137</v>
      </c>
      <c r="M13" s="74" t="str">
        <f>"Yˆ = " &amp; ROUND(M31,3) &amp; " − " &amp; ABS(ROUND(M32,3))  &amp; "X2 + " &amp; ABS(ROUND(M33,3))  &amp; "X3 + " &amp; ROUND(M34,3)  &amp; "X4 + " &amp; ROUND(M35,3)  &amp; "X5 − " &amp; ABS(ROUND(M36,3)) &amp; "X6"</f>
        <v>Yˆ = 61,755 − 30,764X2 + 3,5X3 + 0,029X4 + 0,03X5 − 0,29X6</v>
      </c>
      <c r="N13" s="74"/>
      <c r="O13" s="74"/>
      <c r="P13" s="74"/>
      <c r="Q13" s="74"/>
      <c r="U13" s="72">
        <f t="shared" si="3"/>
        <v>3.3647503726394064</v>
      </c>
    </row>
    <row r="14" spans="1:22">
      <c r="A14" s="34" t="str">
        <v>Lazio</v>
      </c>
      <c r="B14" s="8">
        <v>56</v>
      </c>
      <c r="C14" s="29">
        <v>1.4210526315789473</v>
      </c>
      <c r="D14" s="29">
        <v>10.018552875695732</v>
      </c>
      <c r="E14" s="8">
        <v>193</v>
      </c>
      <c r="F14" s="8">
        <v>599</v>
      </c>
      <c r="G14" s="8">
        <v>79</v>
      </c>
      <c r="H14" s="31">
        <f t="shared" si="0"/>
        <v>53.939995429569535</v>
      </c>
      <c r="I14" s="33">
        <f t="shared" si="1"/>
        <v>57.030945857543266</v>
      </c>
      <c r="J14" s="33">
        <f t="shared" si="2"/>
        <v>50.849045001595805</v>
      </c>
      <c r="K14" s="6"/>
      <c r="U14" s="72">
        <f t="shared" si="3"/>
        <v>2.0600045704304648</v>
      </c>
    </row>
    <row r="15" spans="1:22">
      <c r="A15" s="34" t="str">
        <v>Verona</v>
      </c>
      <c r="B15" s="8">
        <v>54</v>
      </c>
      <c r="C15" s="29">
        <v>1.7894736842105263</v>
      </c>
      <c r="D15" s="29">
        <v>13.507625272331156</v>
      </c>
      <c r="E15" s="8">
        <v>187</v>
      </c>
      <c r="F15" s="8">
        <v>504</v>
      </c>
      <c r="G15" s="8">
        <v>68</v>
      </c>
      <c r="H15" s="31">
        <f t="shared" si="0"/>
        <v>54.954463690521209</v>
      </c>
      <c r="I15" s="33">
        <f t="shared" si="1"/>
        <v>58.045414118494939</v>
      </c>
      <c r="J15" s="33">
        <f t="shared" si="2"/>
        <v>51.863513262547478</v>
      </c>
      <c r="K15" s="6"/>
      <c r="L15" t="s">
        <v>130</v>
      </c>
      <c r="U15" s="72">
        <f t="shared" si="3"/>
        <v>-0.95446369052120872</v>
      </c>
    </row>
    <row r="16" spans="1:22" ht="15.75" thickBot="1">
      <c r="A16" s="34" t="str">
        <v>Atalanta</v>
      </c>
      <c r="B16" s="8">
        <v>50</v>
      </c>
      <c r="C16" s="29">
        <v>1.3421052631578947</v>
      </c>
      <c r="D16" s="29">
        <v>9.6196868008948542</v>
      </c>
      <c r="E16" s="8">
        <v>190</v>
      </c>
      <c r="F16" s="8">
        <v>525</v>
      </c>
      <c r="G16" s="8">
        <v>81</v>
      </c>
      <c r="H16" s="31">
        <f t="shared" si="0"/>
        <v>52.059076797536676</v>
      </c>
      <c r="I16" s="33">
        <f t="shared" si="1"/>
        <v>55.150027225510406</v>
      </c>
      <c r="J16" s="33">
        <f t="shared" si="2"/>
        <v>48.968126369562945</v>
      </c>
      <c r="K16" s="6"/>
      <c r="U16" s="72">
        <f t="shared" si="3"/>
        <v>-2.0590767975366759</v>
      </c>
    </row>
    <row r="17" spans="1:21">
      <c r="A17" s="34" t="str">
        <v>Sampdoria</v>
      </c>
      <c r="B17" s="8">
        <v>45</v>
      </c>
      <c r="C17" s="29">
        <v>1.631578947368421</v>
      </c>
      <c r="D17" s="29">
        <v>9.2130518234165066</v>
      </c>
      <c r="E17" s="8">
        <v>173</v>
      </c>
      <c r="F17" s="8">
        <v>660</v>
      </c>
      <c r="G17" s="8">
        <v>97</v>
      </c>
      <c r="H17" s="31">
        <f t="shared" si="0"/>
        <v>40.694011628986303</v>
      </c>
      <c r="I17" s="33">
        <f t="shared" si="1"/>
        <v>43.784962056960033</v>
      </c>
      <c r="J17" s="33">
        <f t="shared" si="2"/>
        <v>37.603061201012572</v>
      </c>
      <c r="K17" s="6"/>
      <c r="L17" s="26" t="s">
        <v>131</v>
      </c>
      <c r="M17" s="26"/>
      <c r="U17" s="72">
        <f t="shared" si="3"/>
        <v>4.3059883710136972</v>
      </c>
    </row>
    <row r="18" spans="1:21">
      <c r="A18" s="34" t="str">
        <v>Udinese</v>
      </c>
      <c r="B18" s="8">
        <v>44</v>
      </c>
      <c r="C18" s="29">
        <v>1.5</v>
      </c>
      <c r="D18" s="29">
        <v>9.5435684647302903</v>
      </c>
      <c r="E18" s="8">
        <v>201</v>
      </c>
      <c r="F18" s="8">
        <v>519</v>
      </c>
      <c r="G18" s="8">
        <v>80</v>
      </c>
      <c r="H18" s="31">
        <f t="shared" si="0"/>
        <v>47.361047636342938</v>
      </c>
      <c r="I18" s="33">
        <f t="shared" si="1"/>
        <v>50.451998064316669</v>
      </c>
      <c r="J18" s="33">
        <f t="shared" si="2"/>
        <v>44.270097208369208</v>
      </c>
      <c r="K18" s="6"/>
      <c r="L18" s="17" t="s">
        <v>132</v>
      </c>
      <c r="M18" s="17">
        <v>0.96290028880797207</v>
      </c>
      <c r="P18" s="4" t="s">
        <v>176</v>
      </c>
      <c r="U18" s="72">
        <f t="shared" si="3"/>
        <v>-3.3610476363429385</v>
      </c>
    </row>
    <row r="19" spans="1:21">
      <c r="A19" s="34" t="str">
        <v>Genoa</v>
      </c>
      <c r="B19" s="8">
        <v>44</v>
      </c>
      <c r="C19" s="29">
        <v>1.3157894736842106</v>
      </c>
      <c r="D19" s="29">
        <v>10.933333333333334</v>
      </c>
      <c r="E19" s="8">
        <v>180</v>
      </c>
      <c r="F19" s="8">
        <v>605</v>
      </c>
      <c r="G19" s="8">
        <v>94</v>
      </c>
      <c r="H19" s="31">
        <f t="shared" si="0"/>
        <v>55.833881307757267</v>
      </c>
      <c r="I19" s="33">
        <f t="shared" si="1"/>
        <v>58.924831735730997</v>
      </c>
      <c r="J19" s="33">
        <f t="shared" si="2"/>
        <v>52.742930879783536</v>
      </c>
      <c r="K19" s="6"/>
      <c r="L19" s="17" t="s">
        <v>133</v>
      </c>
      <c r="M19" s="17">
        <v>0.92717696618647605</v>
      </c>
      <c r="O19" t="s">
        <v>190</v>
      </c>
      <c r="P19">
        <v>0.05</v>
      </c>
      <c r="U19" s="72">
        <f t="shared" si="3"/>
        <v>-11.833881307757267</v>
      </c>
    </row>
    <row r="20" spans="1:21">
      <c r="A20" s="34" t="str">
        <v>Cagliari</v>
      </c>
      <c r="B20" s="8">
        <v>39</v>
      </c>
      <c r="C20" s="29">
        <v>1.3947368421052631</v>
      </c>
      <c r="D20" s="29">
        <v>7.2649572649572658</v>
      </c>
      <c r="E20" s="8">
        <v>171</v>
      </c>
      <c r="F20" s="8">
        <v>580</v>
      </c>
      <c r="G20" s="8">
        <v>99</v>
      </c>
      <c r="H20" s="31">
        <f t="shared" si="0"/>
        <v>38.094278660417608</v>
      </c>
      <c r="I20" s="33">
        <f t="shared" si="1"/>
        <v>41.185229088391338</v>
      </c>
      <c r="J20" s="33">
        <f t="shared" si="2"/>
        <v>35.003328232443877</v>
      </c>
      <c r="K20" s="6"/>
      <c r="L20" s="17" t="s">
        <v>134</v>
      </c>
      <c r="M20" s="17">
        <v>0.9011687398245033</v>
      </c>
      <c r="O20" t="s">
        <v>171</v>
      </c>
      <c r="P20">
        <f>TINV(P19,M27)</f>
        <v>2.1447866812820848</v>
      </c>
      <c r="U20" s="72">
        <f t="shared" si="3"/>
        <v>0.9057213395823922</v>
      </c>
    </row>
    <row r="21" spans="1:21">
      <c r="A21" s="34" t="str">
        <v>Chievo</v>
      </c>
      <c r="B21" s="8">
        <v>36</v>
      </c>
      <c r="C21" s="29">
        <v>1.4210526315789473</v>
      </c>
      <c r="D21" s="29">
        <v>8.2324455205811145</v>
      </c>
      <c r="E21" s="8">
        <v>190</v>
      </c>
      <c r="F21" s="8">
        <v>629</v>
      </c>
      <c r="G21" s="8">
        <v>103</v>
      </c>
      <c r="H21" s="31">
        <f t="shared" si="0"/>
        <v>41.546834358490521</v>
      </c>
      <c r="I21" s="33">
        <f t="shared" si="1"/>
        <v>44.637784786464252</v>
      </c>
      <c r="J21" s="33">
        <f t="shared" si="2"/>
        <v>38.455883930516791</v>
      </c>
      <c r="K21" s="6"/>
      <c r="L21" s="17" t="s">
        <v>135</v>
      </c>
      <c r="M21" s="17">
        <v>6.1142640254326386</v>
      </c>
      <c r="O21" t="s">
        <v>172</v>
      </c>
      <c r="P21">
        <f>M21</f>
        <v>6.1142640254326386</v>
      </c>
      <c r="U21" s="72">
        <f t="shared" si="3"/>
        <v>-5.5468343584905213</v>
      </c>
    </row>
    <row r="22" spans="1:21" ht="15.75" thickBot="1">
      <c r="A22" s="34" t="str">
        <v>Sassuolo</v>
      </c>
      <c r="B22" s="8">
        <v>34</v>
      </c>
      <c r="C22" s="29">
        <v>1.8947368421052631</v>
      </c>
      <c r="D22" s="29">
        <v>8.7398373983739841</v>
      </c>
      <c r="E22" s="8">
        <v>199</v>
      </c>
      <c r="F22" s="8">
        <v>632</v>
      </c>
      <c r="G22" s="8">
        <v>97</v>
      </c>
      <c r="H22" s="31">
        <f t="shared" si="0"/>
        <v>30.842970682409508</v>
      </c>
      <c r="I22" s="33">
        <f t="shared" si="1"/>
        <v>33.933921110383238</v>
      </c>
      <c r="J22" s="33">
        <f t="shared" si="2"/>
        <v>27.752020254435777</v>
      </c>
      <c r="K22" s="6"/>
      <c r="L22" s="18" t="s">
        <v>125</v>
      </c>
      <c r="M22" s="18">
        <v>20</v>
      </c>
      <c r="O22" s="18" t="s">
        <v>173</v>
      </c>
      <c r="P22" s="18">
        <f>P20*P21/SQRT(M22-2)</f>
        <v>3.0909504279737292</v>
      </c>
      <c r="U22" s="72">
        <f t="shared" si="3"/>
        <v>3.1570293175904922</v>
      </c>
    </row>
    <row r="23" spans="1:21">
      <c r="A23" s="34" t="str">
        <v>Catania</v>
      </c>
      <c r="B23" s="8">
        <v>32</v>
      </c>
      <c r="C23" s="29">
        <v>1.736842105263158</v>
      </c>
      <c r="D23" s="29">
        <v>7.0247933884297522</v>
      </c>
      <c r="E23" s="8">
        <v>179</v>
      </c>
      <c r="F23" s="8">
        <v>641</v>
      </c>
      <c r="G23" s="8">
        <v>91</v>
      </c>
      <c r="H23" s="31">
        <f t="shared" si="0"/>
        <v>31.133663238013213</v>
      </c>
      <c r="I23" s="33">
        <f t="shared" si="1"/>
        <v>34.224613665986944</v>
      </c>
      <c r="J23" s="33">
        <f t="shared" si="2"/>
        <v>28.042712810039482</v>
      </c>
      <c r="K23" s="6"/>
      <c r="U23" s="72">
        <f t="shared" si="3"/>
        <v>0.866336761986787</v>
      </c>
    </row>
    <row r="24" spans="1:21" ht="15.75" thickBot="1">
      <c r="A24" s="34" t="str">
        <v>Bologna</v>
      </c>
      <c r="B24" s="8">
        <v>29</v>
      </c>
      <c r="C24" s="29">
        <v>1.5263157894736843</v>
      </c>
      <c r="D24" s="29">
        <v>5.6451612903225801</v>
      </c>
      <c r="E24" s="8">
        <v>173</v>
      </c>
      <c r="F24" s="8">
        <v>595</v>
      </c>
      <c r="G24" s="8">
        <v>98</v>
      </c>
      <c r="H24" s="31">
        <f t="shared" si="0"/>
        <v>29.179739181865912</v>
      </c>
      <c r="I24" s="33">
        <f t="shared" si="1"/>
        <v>32.270689609839643</v>
      </c>
      <c r="J24" s="33">
        <f t="shared" si="2"/>
        <v>26.088788753892182</v>
      </c>
      <c r="K24" s="6"/>
      <c r="L24" t="s">
        <v>136</v>
      </c>
      <c r="U24" s="72">
        <f t="shared" si="3"/>
        <v>-0.1797391818659122</v>
      </c>
    </row>
    <row r="25" spans="1:21">
      <c r="A25" s="34" t="str">
        <v>Livorno</v>
      </c>
      <c r="B25" s="8">
        <v>25</v>
      </c>
      <c r="C25" s="29">
        <v>2.0263157894736841</v>
      </c>
      <c r="D25" s="29">
        <v>8.0745341614906838</v>
      </c>
      <c r="E25" s="8">
        <v>180</v>
      </c>
      <c r="F25" s="8">
        <v>574</v>
      </c>
      <c r="G25" s="8">
        <v>108</v>
      </c>
      <c r="H25" s="31">
        <f t="shared" si="0"/>
        <v>18.964443621230558</v>
      </c>
      <c r="I25" s="33">
        <f t="shared" si="1"/>
        <v>22.055394049204288</v>
      </c>
      <c r="J25" s="33">
        <f t="shared" si="2"/>
        <v>15.873493193256829</v>
      </c>
      <c r="K25" s="6"/>
      <c r="L25" s="19"/>
      <c r="M25" s="19" t="s">
        <v>126</v>
      </c>
      <c r="N25" s="19" t="s">
        <v>140</v>
      </c>
      <c r="O25" s="19" t="s">
        <v>141</v>
      </c>
      <c r="P25" s="19" t="s">
        <v>96</v>
      </c>
      <c r="Q25" s="19" t="s">
        <v>142</v>
      </c>
      <c r="U25" s="72">
        <f t="shared" si="3"/>
        <v>6.0355563787694422</v>
      </c>
    </row>
    <row r="26" spans="1:21">
      <c r="L26" s="17" t="s">
        <v>137</v>
      </c>
      <c r="M26" s="17">
        <v>5</v>
      </c>
      <c r="N26" s="17">
        <v>6663.6208559822035</v>
      </c>
      <c r="O26" s="17">
        <v>1332.7241711964407</v>
      </c>
      <c r="P26" s="17">
        <v>35.649373136113624</v>
      </c>
      <c r="Q26" s="17">
        <v>1.7520564794622152E-7</v>
      </c>
    </row>
    <row r="27" spans="1:21">
      <c r="L27" s="17" t="s">
        <v>138</v>
      </c>
      <c r="M27" s="17">
        <v>14</v>
      </c>
      <c r="N27" s="17">
        <v>523.37914401779631</v>
      </c>
      <c r="O27" s="17">
        <v>37.384224572699736</v>
      </c>
      <c r="P27" s="17"/>
      <c r="Q27" s="17"/>
    </row>
    <row r="28" spans="1:21" ht="15.75" thickBot="1">
      <c r="L28" s="18" t="s">
        <v>120</v>
      </c>
      <c r="M28" s="18">
        <v>19</v>
      </c>
      <c r="N28" s="18">
        <v>7187</v>
      </c>
      <c r="O28" s="18"/>
      <c r="P28" s="18"/>
      <c r="Q28" s="18"/>
    </row>
    <row r="29" spans="1:21" ht="15.75" thickBot="1"/>
    <row r="30" spans="1:21">
      <c r="L30" s="19"/>
      <c r="M30" s="19" t="s">
        <v>143</v>
      </c>
      <c r="N30" s="19" t="s">
        <v>135</v>
      </c>
      <c r="O30" s="19" t="s">
        <v>127</v>
      </c>
      <c r="P30" s="19" t="s">
        <v>144</v>
      </c>
      <c r="Q30" s="19" t="s">
        <v>145</v>
      </c>
      <c r="R30" s="19" t="s">
        <v>146</v>
      </c>
      <c r="S30" s="19" t="s">
        <v>147</v>
      </c>
      <c r="T30" s="19" t="s">
        <v>148</v>
      </c>
      <c r="U30" s="19" t="s">
        <v>281</v>
      </c>
    </row>
    <row r="31" spans="1:21">
      <c r="L31" s="17" t="s">
        <v>139</v>
      </c>
      <c r="M31" s="17">
        <v>61.755217941022039</v>
      </c>
      <c r="N31" s="17">
        <v>37.711064161672496</v>
      </c>
      <c r="O31" s="17">
        <v>1.637588843323778</v>
      </c>
      <c r="P31" s="17">
        <v>0.12377953318623822</v>
      </c>
      <c r="Q31" s="17">
        <v>-19.126970209907284</v>
      </c>
      <c r="R31" s="17">
        <v>142.63740609195136</v>
      </c>
      <c r="S31" s="17">
        <v>-19.126970209907284</v>
      </c>
      <c r="T31" s="17">
        <v>142.63740609195136</v>
      </c>
      <c r="U31" t="b">
        <f t="shared" ref="U31:U36" si="4">P31&lt;$P$19</f>
        <v>0</v>
      </c>
    </row>
    <row r="32" spans="1:21">
      <c r="L32" s="17" t="s">
        <v>157</v>
      </c>
      <c r="M32" s="17">
        <v>-30.763690820359667</v>
      </c>
      <c r="N32" s="17">
        <v>5.1901744845924336</v>
      </c>
      <c r="O32" s="17">
        <v>-5.9272941423616574</v>
      </c>
      <c r="P32" s="17">
        <v>3.6895124293485543E-5</v>
      </c>
      <c r="Q32" s="17">
        <v>-41.895507928443628</v>
      </c>
      <c r="R32" s="17">
        <v>-19.631873712275706</v>
      </c>
      <c r="S32" s="17">
        <v>-41.895507928443628</v>
      </c>
      <c r="T32" s="17">
        <v>-19.631873712275706</v>
      </c>
      <c r="U32" t="b">
        <f t="shared" si="4"/>
        <v>1</v>
      </c>
    </row>
    <row r="33" spans="1:21">
      <c r="L33" s="17" t="s">
        <v>156</v>
      </c>
      <c r="M33" s="17">
        <v>3.5004467546110036</v>
      </c>
      <c r="N33" s="17">
        <v>0.96609766406780639</v>
      </c>
      <c r="O33" s="17">
        <v>3.6232845651154806</v>
      </c>
      <c r="P33" s="17">
        <v>2.7676446486618626E-3</v>
      </c>
      <c r="Q33" s="17">
        <v>1.4283733519006385</v>
      </c>
      <c r="R33" s="17">
        <v>5.5725201573213692</v>
      </c>
      <c r="S33" s="17">
        <v>1.4283733519006385</v>
      </c>
      <c r="T33" s="17">
        <v>5.5725201573213692</v>
      </c>
      <c r="U33" t="b">
        <f t="shared" si="4"/>
        <v>1</v>
      </c>
    </row>
    <row r="34" spans="1:21">
      <c r="L34" s="17" t="s">
        <v>95</v>
      </c>
      <c r="M34" s="17">
        <v>2.8888290299314317E-2</v>
      </c>
      <c r="N34" s="17">
        <v>0.10019343688834349</v>
      </c>
      <c r="O34" s="17">
        <v>0.28832517574487138</v>
      </c>
      <c r="P34" s="17">
        <v>0.77732251853403733</v>
      </c>
      <c r="Q34" s="17">
        <v>-0.18600525869068196</v>
      </c>
      <c r="R34" s="17">
        <v>0.24378183928931058</v>
      </c>
      <c r="S34" s="17">
        <v>-0.18600525869068196</v>
      </c>
      <c r="T34" s="17">
        <v>0.24378183928931058</v>
      </c>
      <c r="U34" t="b">
        <f>P34&lt;$P$19</f>
        <v>0</v>
      </c>
    </row>
    <row r="35" spans="1:21">
      <c r="L35" s="17" t="s">
        <v>96</v>
      </c>
      <c r="M35" s="17">
        <v>3.0355945905813957E-2</v>
      </c>
      <c r="N35" s="17">
        <v>3.0892036002821532E-2</v>
      </c>
      <c r="O35" s="17">
        <v>0.98264633328283668</v>
      </c>
      <c r="P35" s="17">
        <v>0.34245930466946484</v>
      </c>
      <c r="Q35" s="17">
        <v>-3.5900881470724316E-2</v>
      </c>
      <c r="R35" s="17">
        <v>9.6612773282352238E-2</v>
      </c>
      <c r="S35" s="17">
        <v>-3.5900881470724316E-2</v>
      </c>
      <c r="T35" s="17">
        <v>9.6612773282352238E-2</v>
      </c>
      <c r="U35" t="b">
        <f t="shared" si="4"/>
        <v>0</v>
      </c>
    </row>
    <row r="36" spans="1:21" ht="15.75" thickBot="1">
      <c r="L36" s="18" t="s">
        <v>97</v>
      </c>
      <c r="M36" s="18">
        <v>-0.29020837011490358</v>
      </c>
      <c r="N36" s="18">
        <v>0.17215295039700682</v>
      </c>
      <c r="O36" s="18">
        <v>-1.6857589105829776</v>
      </c>
      <c r="P36" s="18">
        <v>0.11399103814726344</v>
      </c>
      <c r="Q36" s="18">
        <v>-0.6594397252698192</v>
      </c>
      <c r="R36" s="18">
        <v>7.9022985040012039E-2</v>
      </c>
      <c r="S36" s="18">
        <v>-0.6594397252698192</v>
      </c>
      <c r="T36" s="18">
        <v>7.9022985040012039E-2</v>
      </c>
      <c r="U36" s="18" t="b">
        <f t="shared" si="4"/>
        <v>0</v>
      </c>
    </row>
    <row r="38" spans="1:21">
      <c r="L38" t="s">
        <v>269</v>
      </c>
      <c r="M38" t="s">
        <v>333</v>
      </c>
    </row>
    <row r="39" spans="1:21">
      <c r="M39" t="s">
        <v>334</v>
      </c>
    </row>
    <row r="40" spans="1:21">
      <c r="M40" t="s">
        <v>335</v>
      </c>
    </row>
    <row r="41" spans="1:21">
      <c r="M41" t="s">
        <v>336</v>
      </c>
    </row>
    <row r="42" spans="1:21">
      <c r="M42" t="s">
        <v>295</v>
      </c>
    </row>
    <row r="43" spans="1:21">
      <c r="M43" t="s">
        <v>305</v>
      </c>
    </row>
    <row r="44" spans="1:21">
      <c r="A44" s="6"/>
      <c r="B44" s="6"/>
      <c r="C44" s="6"/>
      <c r="D44" s="6"/>
      <c r="E44" s="6"/>
      <c r="M44" t="s">
        <v>337</v>
      </c>
    </row>
    <row r="45" spans="1:21">
      <c r="M45" t="s">
        <v>338</v>
      </c>
    </row>
    <row r="46" spans="1:21">
      <c r="M46" t="s">
        <v>296</v>
      </c>
    </row>
    <row r="48" spans="1:21">
      <c r="L48" t="str">
        <f t="array" ref="L48:M49">L18:M19</f>
        <v>Multiple R</v>
      </c>
      <c r="M48" s="6">
        <v>0.96290028880797207</v>
      </c>
      <c r="N48" t="s">
        <v>339</v>
      </c>
    </row>
    <row r="49" spans="1:15">
      <c r="L49" t="str">
        <v>R Square</v>
      </c>
      <c r="M49" s="6">
        <v>0.92717696618647605</v>
      </c>
      <c r="N49" t="s">
        <v>282</v>
      </c>
    </row>
    <row r="51" spans="1:15">
      <c r="L51" t="s">
        <v>268</v>
      </c>
      <c r="M51" t="s">
        <v>297</v>
      </c>
      <c r="O51" t="s">
        <v>299</v>
      </c>
    </row>
    <row r="52" spans="1:15">
      <c r="M52" t="s">
        <v>298</v>
      </c>
    </row>
    <row r="54" spans="1:15">
      <c r="L54" t="s">
        <v>192</v>
      </c>
      <c r="M54" t="b">
        <f>U32</f>
        <v>1</v>
      </c>
      <c r="N54" s="4" t="s">
        <v>193</v>
      </c>
      <c r="O54" t="s">
        <v>312</v>
      </c>
    </row>
    <row r="55" spans="1:15">
      <c r="O55" t="s">
        <v>300</v>
      </c>
    </row>
    <row r="57" spans="1:15">
      <c r="L57" t="s">
        <v>390</v>
      </c>
      <c r="M57" s="58" t="s">
        <v>455</v>
      </c>
    </row>
    <row r="58" spans="1:15">
      <c r="M58" t="s">
        <v>302</v>
      </c>
    </row>
    <row r="59" spans="1:15">
      <c r="M59" t="s">
        <v>301</v>
      </c>
    </row>
    <row r="60" spans="1:15">
      <c r="M60" t="s">
        <v>306</v>
      </c>
    </row>
    <row r="61" spans="1:15">
      <c r="M61" t="s">
        <v>303</v>
      </c>
    </row>
    <row r="62" spans="1:15">
      <c r="A62" s="60"/>
      <c r="B62" s="60"/>
      <c r="C62" s="60"/>
      <c r="D62" s="60"/>
      <c r="E62" s="60"/>
      <c r="F62" s="60"/>
      <c r="G62" s="60"/>
      <c r="H62" s="60"/>
      <c r="I62" s="60"/>
      <c r="J62" s="60"/>
      <c r="M62" t="s">
        <v>340</v>
      </c>
    </row>
    <row r="63" spans="1:15">
      <c r="A63" s="60"/>
      <c r="B63" s="60"/>
      <c r="C63" s="60"/>
      <c r="D63" s="60"/>
      <c r="E63" s="60"/>
      <c r="F63" s="60"/>
      <c r="G63" s="60"/>
      <c r="H63" s="60"/>
      <c r="I63" s="60"/>
      <c r="J63" s="60"/>
      <c r="M63" t="s">
        <v>437</v>
      </c>
    </row>
    <row r="64" spans="1:15">
      <c r="A64" s="59"/>
      <c r="B64" s="59"/>
      <c r="C64" s="59"/>
      <c r="D64" s="59"/>
      <c r="E64" s="59"/>
      <c r="F64" s="60"/>
      <c r="G64" s="60"/>
      <c r="H64" s="60"/>
      <c r="I64" s="60"/>
      <c r="J64" s="60"/>
    </row>
    <row r="65" spans="1:21">
      <c r="A65" s="60"/>
      <c r="B65" s="60"/>
      <c r="C65" s="60"/>
      <c r="D65" s="60"/>
      <c r="E65" s="60"/>
      <c r="F65" s="60"/>
      <c r="G65" s="60"/>
      <c r="H65" s="60"/>
      <c r="I65" s="60"/>
      <c r="J65" s="60"/>
      <c r="L65" t="s">
        <v>391</v>
      </c>
      <c r="M65" s="58" t="s">
        <v>454</v>
      </c>
    </row>
    <row r="66" spans="1:21">
      <c r="A66" s="60"/>
      <c r="B66" s="60"/>
      <c r="C66" s="60"/>
      <c r="D66" s="60"/>
      <c r="E66" s="60"/>
      <c r="F66" s="60"/>
      <c r="G66" s="60"/>
      <c r="H66" s="60"/>
      <c r="I66" s="60"/>
      <c r="J66" s="60"/>
      <c r="M66" s="58" t="s">
        <v>302</v>
      </c>
    </row>
    <row r="67" spans="1:21">
      <c r="A67" s="60"/>
      <c r="B67" s="60"/>
      <c r="C67" s="60"/>
      <c r="D67" s="60"/>
      <c r="E67" s="60"/>
      <c r="F67" s="60"/>
      <c r="G67" s="60"/>
      <c r="H67" s="60"/>
      <c r="I67" s="60"/>
      <c r="J67" s="60"/>
      <c r="M67" s="58" t="s">
        <v>416</v>
      </c>
    </row>
    <row r="68" spans="1:21">
      <c r="A68" s="60"/>
      <c r="B68" s="60"/>
      <c r="C68" s="60"/>
      <c r="D68" s="60"/>
      <c r="E68" s="60"/>
      <c r="F68" s="60"/>
      <c r="G68" s="60"/>
      <c r="H68" s="60"/>
      <c r="I68" s="60"/>
      <c r="J68" s="60"/>
      <c r="M68" s="58" t="s">
        <v>309</v>
      </c>
    </row>
    <row r="69" spans="1:21">
      <c r="A69" s="60"/>
      <c r="B69" s="60"/>
      <c r="C69" s="60"/>
      <c r="D69" s="60"/>
      <c r="E69" s="60"/>
      <c r="F69" s="60"/>
      <c r="G69" s="60"/>
      <c r="H69" s="60"/>
      <c r="I69" s="60"/>
      <c r="J69" s="60"/>
      <c r="M69" s="58" t="s">
        <v>308</v>
      </c>
    </row>
    <row r="70" spans="1:21">
      <c r="A70" s="60"/>
      <c r="B70" s="60"/>
      <c r="C70" s="60"/>
      <c r="D70" s="60"/>
      <c r="E70" s="60"/>
      <c r="F70" s="60"/>
      <c r="G70" s="60"/>
      <c r="H70" s="60"/>
      <c r="I70" s="60"/>
      <c r="J70" s="60"/>
      <c r="M70" s="58" t="s">
        <v>307</v>
      </c>
    </row>
    <row r="71" spans="1:21">
      <c r="A71" s="60"/>
      <c r="B71" s="60"/>
      <c r="C71" s="60"/>
      <c r="D71" s="60"/>
      <c r="E71" s="60"/>
      <c r="F71" s="60"/>
      <c r="G71" s="60"/>
      <c r="H71" s="60"/>
      <c r="I71" s="60"/>
      <c r="J71" s="60"/>
    </row>
    <row r="72" spans="1:21">
      <c r="A72" s="60"/>
      <c r="B72" s="60"/>
      <c r="C72" s="60"/>
      <c r="D72" s="60"/>
      <c r="E72" s="60"/>
      <c r="F72" s="60"/>
      <c r="G72" s="60"/>
      <c r="H72" s="60"/>
      <c r="I72" s="60"/>
      <c r="J72" s="60"/>
    </row>
    <row r="73" spans="1:21">
      <c r="A73" s="60"/>
      <c r="B73" s="60"/>
      <c r="C73" s="60"/>
      <c r="D73" s="60"/>
      <c r="E73" s="60"/>
      <c r="F73" s="60"/>
      <c r="G73" s="60"/>
      <c r="H73" s="60"/>
      <c r="I73" s="60"/>
      <c r="J73" s="60"/>
      <c r="L73" t="s">
        <v>201</v>
      </c>
      <c r="M73" t="s">
        <v>400</v>
      </c>
    </row>
    <row r="74" spans="1:21">
      <c r="A74" s="60"/>
      <c r="B74" s="60"/>
      <c r="C74" s="60"/>
      <c r="D74" s="60"/>
      <c r="E74" s="60"/>
      <c r="F74" s="60"/>
      <c r="G74" s="60"/>
      <c r="H74" s="60"/>
      <c r="I74" s="60"/>
      <c r="J74" s="60"/>
    </row>
    <row r="75" spans="1:21">
      <c r="A75" s="60"/>
      <c r="B75" s="60"/>
      <c r="C75" s="60"/>
      <c r="D75" s="60"/>
      <c r="E75" s="60"/>
      <c r="F75" s="60"/>
      <c r="G75" s="60"/>
      <c r="H75" s="60"/>
      <c r="I75" s="60"/>
      <c r="J75" s="60"/>
    </row>
    <row r="76" spans="1:21">
      <c r="L76" t="s">
        <v>246</v>
      </c>
      <c r="M76" t="s">
        <v>310</v>
      </c>
    </row>
    <row r="77" spans="1:21">
      <c r="M77" t="s">
        <v>304</v>
      </c>
    </row>
    <row r="78" spans="1:21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21">
      <c r="A79" s="73">
        <f t="array" ref="A79:B100">A4:B25</f>
        <v>0</v>
      </c>
      <c r="B79" s="38" t="str">
        <v>y</v>
      </c>
      <c r="C79" s="38" t="str">
        <f t="array" ref="C79:C100">C4:C25</f>
        <v>x2</v>
      </c>
      <c r="D79" s="60"/>
      <c r="E79" s="60"/>
      <c r="F79" s="60"/>
      <c r="G79" s="60"/>
      <c r="H79" s="60"/>
      <c r="I79" s="60"/>
      <c r="J79" s="60"/>
    </row>
    <row r="80" spans="1:21">
      <c r="A80" s="6" t="str">
        <v>Team</v>
      </c>
      <c r="B80" s="6" t="str">
        <v>Points</v>
      </c>
      <c r="C80" s="6" t="str">
        <v>GA Avg</v>
      </c>
      <c r="D80" s="59"/>
      <c r="E80" s="59"/>
      <c r="F80" s="60"/>
      <c r="G80" s="60"/>
      <c r="H80" s="9" t="s">
        <v>170</v>
      </c>
      <c r="I80" s="32" t="s">
        <v>174</v>
      </c>
      <c r="J80" s="32" t="s">
        <v>175</v>
      </c>
      <c r="L80" s="44" t="s">
        <v>130</v>
      </c>
      <c r="M80" s="44"/>
      <c r="N80" s="44"/>
      <c r="O80" s="44"/>
      <c r="P80" s="44"/>
      <c r="Q80" s="44"/>
      <c r="R80" s="44"/>
      <c r="S80" s="44"/>
      <c r="T80" s="44"/>
      <c r="U80" s="44"/>
    </row>
    <row r="81" spans="1:21">
      <c r="A81" s="6" t="str">
        <v>Juventus</v>
      </c>
      <c r="B81" s="51">
        <v>102</v>
      </c>
      <c r="C81" s="6">
        <v>0.60526315789473684</v>
      </c>
      <c r="D81" s="59"/>
      <c r="E81" s="59"/>
      <c r="F81" s="60"/>
      <c r="G81" s="60"/>
      <c r="H81" s="31">
        <f t="shared" ref="H81:H100" si="5">(C81*$M$97)+$M$96</f>
        <v>87.663386494740422</v>
      </c>
      <c r="I81" s="33">
        <f t="shared" ref="I81:I100" si="6">H81+$P$87</f>
        <v>92.4423230853955</v>
      </c>
      <c r="J81" s="33">
        <f t="shared" ref="J81:J100" si="7">H81-$P$87</f>
        <v>82.884449904085344</v>
      </c>
      <c r="L81" s="44"/>
      <c r="M81" s="44"/>
      <c r="N81" s="44"/>
      <c r="O81" s="44"/>
      <c r="P81" s="44"/>
      <c r="Q81" s="44"/>
      <c r="R81" s="44"/>
      <c r="S81" s="44"/>
      <c r="T81" s="44"/>
      <c r="U81" s="44"/>
    </row>
    <row r="82" spans="1:21">
      <c r="A82" s="6" t="str">
        <v>Roma</v>
      </c>
      <c r="B82" s="51">
        <v>85</v>
      </c>
      <c r="C82" s="6">
        <v>0.65789473684210531</v>
      </c>
      <c r="D82" s="59"/>
      <c r="E82" s="59"/>
      <c r="F82" s="60"/>
      <c r="G82" s="60"/>
      <c r="H82" s="31">
        <f t="shared" si="5"/>
        <v>85.217237869019343</v>
      </c>
      <c r="I82" s="33">
        <f t="shared" si="6"/>
        <v>89.996174459674421</v>
      </c>
      <c r="J82" s="33">
        <f t="shared" si="7"/>
        <v>80.438301278364264</v>
      </c>
      <c r="L82" s="56" t="s">
        <v>131</v>
      </c>
      <c r="M82" s="56"/>
      <c r="N82" s="44"/>
      <c r="O82" s="44"/>
      <c r="P82" s="44"/>
      <c r="Q82" s="44"/>
      <c r="R82" s="44"/>
      <c r="S82" s="44"/>
      <c r="T82" s="44"/>
      <c r="U82" s="44"/>
    </row>
    <row r="83" spans="1:21">
      <c r="A83" s="6" t="str">
        <v>Napoli</v>
      </c>
      <c r="B83" s="51">
        <v>78</v>
      </c>
      <c r="C83" s="6">
        <v>1.0263157894736843</v>
      </c>
      <c r="D83" s="59"/>
      <c r="E83" s="59"/>
      <c r="F83" s="60"/>
      <c r="G83" s="60"/>
      <c r="H83" s="31">
        <f t="shared" si="5"/>
        <v>68.094197488971844</v>
      </c>
      <c r="I83" s="33">
        <f t="shared" si="6"/>
        <v>72.873134079626922</v>
      </c>
      <c r="J83" s="33">
        <f t="shared" si="7"/>
        <v>63.315260898316765</v>
      </c>
      <c r="L83" s="17" t="s">
        <v>132</v>
      </c>
      <c r="M83" s="17">
        <v>0.87563698546696678</v>
      </c>
      <c r="N83" s="44"/>
      <c r="O83" s="44"/>
      <c r="P83" s="57" t="s">
        <v>176</v>
      </c>
      <c r="Q83" s="44"/>
      <c r="R83" s="44"/>
      <c r="S83" s="44"/>
      <c r="T83" s="44"/>
      <c r="U83" s="44"/>
    </row>
    <row r="84" spans="1:21">
      <c r="A84" s="6" t="str">
        <v>Fiorentina</v>
      </c>
      <c r="B84" s="51">
        <v>65</v>
      </c>
      <c r="C84" s="6">
        <v>1.1578947368421053</v>
      </c>
      <c r="D84" s="59"/>
      <c r="E84" s="59"/>
      <c r="F84" s="60"/>
      <c r="G84" s="60"/>
      <c r="H84" s="31">
        <f t="shared" si="5"/>
        <v>61.97882592466916</v>
      </c>
      <c r="I84" s="33">
        <f t="shared" si="6"/>
        <v>66.757762515324245</v>
      </c>
      <c r="J84" s="33">
        <f t="shared" si="7"/>
        <v>57.199889334014081</v>
      </c>
      <c r="L84" s="17" t="s">
        <v>133</v>
      </c>
      <c r="M84" s="17">
        <v>0.76674013031767707</v>
      </c>
      <c r="N84" s="44"/>
      <c r="O84" s="44" t="s">
        <v>190</v>
      </c>
      <c r="P84" s="44">
        <v>0.05</v>
      </c>
      <c r="Q84" s="44"/>
      <c r="R84" s="44"/>
      <c r="S84" s="44"/>
      <c r="T84" s="44"/>
      <c r="U84" s="44"/>
    </row>
    <row r="85" spans="1:21">
      <c r="A85" s="6" t="str">
        <v>Inter</v>
      </c>
      <c r="B85" s="51">
        <v>60</v>
      </c>
      <c r="C85" s="6">
        <v>1.0263157894736843</v>
      </c>
      <c r="D85" s="59"/>
      <c r="E85" s="59"/>
      <c r="F85" s="60"/>
      <c r="G85" s="60"/>
      <c r="H85" s="31">
        <f t="shared" si="5"/>
        <v>68.094197488971844</v>
      </c>
      <c r="I85" s="33">
        <f t="shared" si="6"/>
        <v>72.873134079626922</v>
      </c>
      <c r="J85" s="33">
        <f t="shared" si="7"/>
        <v>63.315260898316765</v>
      </c>
      <c r="L85" s="17" t="s">
        <v>134</v>
      </c>
      <c r="M85" s="17">
        <v>0.75378124866865914</v>
      </c>
      <c r="N85" s="44"/>
      <c r="O85" s="44" t="s">
        <v>171</v>
      </c>
      <c r="P85" s="44">
        <f>TINV(P84,M92)</f>
        <v>2.1009220368611805</v>
      </c>
      <c r="Q85" s="44"/>
      <c r="R85" s="44"/>
      <c r="S85" s="44"/>
      <c r="T85" s="44"/>
      <c r="U85" s="44"/>
    </row>
    <row r="86" spans="1:21">
      <c r="A86" s="6" t="str">
        <v>Parma</v>
      </c>
      <c r="B86" s="51">
        <v>58</v>
      </c>
      <c r="C86" s="6">
        <v>1.2105263157894737</v>
      </c>
      <c r="D86" s="59"/>
      <c r="E86" s="59"/>
      <c r="F86" s="60"/>
      <c r="G86" s="60"/>
      <c r="H86" s="31">
        <f t="shared" si="5"/>
        <v>59.532677298948087</v>
      </c>
      <c r="I86" s="33">
        <f t="shared" si="6"/>
        <v>64.311613889603166</v>
      </c>
      <c r="J86" s="33">
        <f t="shared" si="7"/>
        <v>54.753740708293009</v>
      </c>
      <c r="L86" s="17" t="s">
        <v>135</v>
      </c>
      <c r="M86" s="17">
        <v>9.6506726403651228</v>
      </c>
      <c r="N86" s="44"/>
      <c r="O86" s="44" t="s">
        <v>172</v>
      </c>
      <c r="P86" s="44">
        <f>M86</f>
        <v>9.6506726403651228</v>
      </c>
      <c r="Q86" s="44"/>
      <c r="R86" s="44"/>
      <c r="S86" s="44"/>
      <c r="T86" s="44"/>
      <c r="U86" s="44"/>
    </row>
    <row r="87" spans="1:21">
      <c r="A87" s="6" t="str">
        <v>Torino</v>
      </c>
      <c r="B87" s="51">
        <v>57</v>
      </c>
      <c r="C87" s="6">
        <v>1.263157894736842</v>
      </c>
      <c r="D87" s="59"/>
      <c r="E87" s="59"/>
      <c r="F87" s="60"/>
      <c r="G87" s="60"/>
      <c r="H87" s="31">
        <f t="shared" si="5"/>
        <v>57.086528673227015</v>
      </c>
      <c r="I87" s="33">
        <f t="shared" si="6"/>
        <v>61.865465263882093</v>
      </c>
      <c r="J87" s="33">
        <f t="shared" si="7"/>
        <v>52.307592082571936</v>
      </c>
      <c r="L87" s="17" t="s">
        <v>125</v>
      </c>
      <c r="M87" s="17">
        <v>20</v>
      </c>
      <c r="N87" s="44"/>
      <c r="O87" s="17" t="s">
        <v>173</v>
      </c>
      <c r="P87" s="17">
        <f>P85*P86/SQRT(M87-2)</f>
        <v>4.7789365906550794</v>
      </c>
      <c r="Q87" s="44"/>
      <c r="R87" s="44"/>
      <c r="S87" s="44"/>
      <c r="T87" s="44"/>
      <c r="U87" s="44"/>
    </row>
    <row r="88" spans="1:21">
      <c r="A88" s="6" t="str">
        <v>Milan</v>
      </c>
      <c r="B88" s="51">
        <v>57</v>
      </c>
      <c r="C88" s="6">
        <v>1.2894736842105263</v>
      </c>
      <c r="D88" s="59"/>
      <c r="E88" s="59"/>
      <c r="F88" s="60"/>
      <c r="G88" s="60"/>
      <c r="H88" s="31">
        <f t="shared" si="5"/>
        <v>55.863454360366475</v>
      </c>
      <c r="I88" s="33">
        <f t="shared" si="6"/>
        <v>60.642390951021554</v>
      </c>
      <c r="J88" s="33">
        <f t="shared" si="7"/>
        <v>51.084517769711397</v>
      </c>
      <c r="L88" s="44"/>
      <c r="M88" s="44"/>
      <c r="N88" s="44"/>
      <c r="O88" s="44"/>
      <c r="P88" s="44"/>
      <c r="Q88" s="44"/>
      <c r="R88" s="44"/>
      <c r="S88" s="44"/>
      <c r="T88" s="44"/>
      <c r="U88" s="44"/>
    </row>
    <row r="89" spans="1:21">
      <c r="A89" s="6" t="str">
        <v>Lazio</v>
      </c>
      <c r="B89" s="51">
        <v>56</v>
      </c>
      <c r="C89" s="6">
        <v>1.4210526315789473</v>
      </c>
      <c r="D89" s="59"/>
      <c r="E89" s="59"/>
      <c r="F89" s="60"/>
      <c r="G89" s="60"/>
      <c r="H89" s="31">
        <f t="shared" si="5"/>
        <v>49.748082796063798</v>
      </c>
      <c r="I89" s="33">
        <f t="shared" si="6"/>
        <v>54.527019386718877</v>
      </c>
      <c r="J89" s="33">
        <f t="shared" si="7"/>
        <v>44.96914620540872</v>
      </c>
      <c r="L89" s="44" t="s">
        <v>136</v>
      </c>
      <c r="M89" s="44"/>
      <c r="N89" s="44"/>
      <c r="O89" s="44"/>
      <c r="P89" s="44"/>
      <c r="Q89" s="44"/>
      <c r="R89" s="44"/>
      <c r="S89" s="44"/>
      <c r="T89" s="44"/>
      <c r="U89" s="44"/>
    </row>
    <row r="90" spans="1:21">
      <c r="A90" s="6" t="str">
        <v>Verona</v>
      </c>
      <c r="B90" s="51">
        <v>54</v>
      </c>
      <c r="C90" s="6">
        <v>1.7894736842105263</v>
      </c>
      <c r="D90" s="59"/>
      <c r="E90" s="59"/>
      <c r="F90" s="60"/>
      <c r="G90" s="60"/>
      <c r="H90" s="31">
        <f t="shared" si="5"/>
        <v>32.625042416016285</v>
      </c>
      <c r="I90" s="33">
        <f t="shared" si="6"/>
        <v>37.403979006671364</v>
      </c>
      <c r="J90" s="33">
        <f t="shared" si="7"/>
        <v>27.846105825361207</v>
      </c>
      <c r="L90" s="55"/>
      <c r="M90" s="55" t="s">
        <v>126</v>
      </c>
      <c r="N90" s="55" t="s">
        <v>140</v>
      </c>
      <c r="O90" s="55" t="s">
        <v>141</v>
      </c>
      <c r="P90" s="55" t="s">
        <v>96</v>
      </c>
      <c r="Q90" s="55" t="s">
        <v>142</v>
      </c>
      <c r="R90" s="44"/>
      <c r="S90" s="44"/>
      <c r="T90" s="44"/>
      <c r="U90" s="44"/>
    </row>
    <row r="91" spans="1:21">
      <c r="A91" s="6" t="str">
        <v>Atalanta</v>
      </c>
      <c r="B91" s="51">
        <v>50</v>
      </c>
      <c r="C91" s="6">
        <v>1.3421052631578947</v>
      </c>
      <c r="D91" s="59"/>
      <c r="E91" s="59"/>
      <c r="F91" s="60"/>
      <c r="G91" s="60"/>
      <c r="H91" s="31">
        <f t="shared" si="5"/>
        <v>53.417305734645403</v>
      </c>
      <c r="I91" s="33">
        <f t="shared" si="6"/>
        <v>58.196242325300481</v>
      </c>
      <c r="J91" s="33">
        <f t="shared" si="7"/>
        <v>48.638369143990325</v>
      </c>
      <c r="L91" s="17" t="s">
        <v>137</v>
      </c>
      <c r="M91" s="17">
        <v>1</v>
      </c>
      <c r="N91" s="17">
        <v>5510.5613165931454</v>
      </c>
      <c r="O91" s="17">
        <v>5510.5613165931454</v>
      </c>
      <c r="P91" s="17">
        <v>59.167152774775346</v>
      </c>
      <c r="Q91" s="17">
        <v>4.2669367701063981E-7</v>
      </c>
      <c r="R91" s="44"/>
      <c r="S91" s="44"/>
      <c r="T91" s="44"/>
      <c r="U91" s="44"/>
    </row>
    <row r="92" spans="1:21">
      <c r="A92" s="6" t="str">
        <v>Sampdoria</v>
      </c>
      <c r="B92" s="51">
        <v>45</v>
      </c>
      <c r="C92" s="6">
        <v>1.631578947368421</v>
      </c>
      <c r="D92" s="59"/>
      <c r="E92" s="59"/>
      <c r="F92" s="60"/>
      <c r="G92" s="60"/>
      <c r="H92" s="31">
        <f t="shared" si="5"/>
        <v>39.963488293179509</v>
      </c>
      <c r="I92" s="33">
        <f t="shared" si="6"/>
        <v>44.742424883834587</v>
      </c>
      <c r="J92" s="33">
        <f t="shared" si="7"/>
        <v>35.184551702524431</v>
      </c>
      <c r="L92" s="17" t="s">
        <v>138</v>
      </c>
      <c r="M92" s="17">
        <v>18</v>
      </c>
      <c r="N92" s="17">
        <v>1676.4386834068548</v>
      </c>
      <c r="O92" s="17">
        <v>93.135482411491935</v>
      </c>
      <c r="P92" s="17"/>
      <c r="Q92" s="17"/>
      <c r="R92" s="44"/>
      <c r="S92" s="44"/>
      <c r="T92" s="44"/>
      <c r="U92" s="44"/>
    </row>
    <row r="93" spans="1:21">
      <c r="A93" s="6" t="str">
        <v>Udinese</v>
      </c>
      <c r="B93" s="51">
        <v>44</v>
      </c>
      <c r="C93" s="6">
        <v>1.5</v>
      </c>
      <c r="D93" s="59"/>
      <c r="E93" s="59"/>
      <c r="F93" s="60"/>
      <c r="G93" s="60"/>
      <c r="H93" s="31">
        <f t="shared" si="5"/>
        <v>46.078859857482186</v>
      </c>
      <c r="I93" s="33">
        <f t="shared" si="6"/>
        <v>50.857796448137265</v>
      </c>
      <c r="J93" s="33">
        <f t="shared" si="7"/>
        <v>41.299923266827108</v>
      </c>
      <c r="L93" s="17" t="s">
        <v>120</v>
      </c>
      <c r="M93" s="17">
        <v>19</v>
      </c>
      <c r="N93" s="17">
        <v>7187</v>
      </c>
      <c r="O93" s="17"/>
      <c r="P93" s="17"/>
      <c r="Q93" s="17"/>
      <c r="R93" s="44"/>
      <c r="S93" s="44"/>
      <c r="T93" s="44"/>
      <c r="U93" s="44"/>
    </row>
    <row r="94" spans="1:21">
      <c r="A94" s="6" t="str">
        <v>Genoa</v>
      </c>
      <c r="B94" s="51">
        <v>44</v>
      </c>
      <c r="C94" s="6">
        <v>1.3157894736842106</v>
      </c>
      <c r="D94" s="59"/>
      <c r="E94" s="59"/>
      <c r="F94" s="60"/>
      <c r="G94" s="60"/>
      <c r="H94" s="31">
        <f t="shared" si="5"/>
        <v>54.640380047505936</v>
      </c>
      <c r="I94" s="33">
        <f t="shared" si="6"/>
        <v>59.419316638161014</v>
      </c>
      <c r="J94" s="33">
        <f t="shared" si="7"/>
        <v>49.861443456850857</v>
      </c>
      <c r="L94" s="44"/>
      <c r="M94" s="44"/>
      <c r="N94" s="44"/>
      <c r="O94" s="44"/>
      <c r="P94" s="44"/>
      <c r="Q94" s="44"/>
      <c r="R94" s="44"/>
      <c r="S94" s="44"/>
      <c r="T94" s="44"/>
      <c r="U94" s="44"/>
    </row>
    <row r="95" spans="1:21">
      <c r="A95" s="6" t="str">
        <v>Cagliari</v>
      </c>
      <c r="B95" s="51">
        <v>39</v>
      </c>
      <c r="C95" s="6">
        <v>1.3947368421052631</v>
      </c>
      <c r="D95" s="59"/>
      <c r="E95" s="59"/>
      <c r="F95" s="60"/>
      <c r="G95" s="60"/>
      <c r="H95" s="31">
        <f t="shared" si="5"/>
        <v>50.971157108924331</v>
      </c>
      <c r="I95" s="33">
        <f t="shared" si="6"/>
        <v>55.750093699579409</v>
      </c>
      <c r="J95" s="33">
        <f t="shared" si="7"/>
        <v>46.192220518269252</v>
      </c>
      <c r="L95" s="55"/>
      <c r="M95" s="55" t="s">
        <v>143</v>
      </c>
      <c r="N95" s="55" t="s">
        <v>135</v>
      </c>
      <c r="O95" s="55" t="s">
        <v>127</v>
      </c>
      <c r="P95" s="55" t="s">
        <v>144</v>
      </c>
      <c r="Q95" s="55" t="s">
        <v>145</v>
      </c>
      <c r="R95" s="55" t="s">
        <v>146</v>
      </c>
      <c r="S95" s="55" t="s">
        <v>147</v>
      </c>
      <c r="T95" s="55" t="s">
        <v>148</v>
      </c>
      <c r="U95" s="55" t="s">
        <v>281</v>
      </c>
    </row>
    <row r="96" spans="1:21">
      <c r="A96" s="6" t="str">
        <v>Chievo</v>
      </c>
      <c r="B96" s="51">
        <v>36</v>
      </c>
      <c r="C96" s="6">
        <v>1.4210526315789473</v>
      </c>
      <c r="D96" s="59"/>
      <c r="E96" s="59"/>
      <c r="F96" s="60"/>
      <c r="G96" s="60"/>
      <c r="H96" s="31">
        <f t="shared" si="5"/>
        <v>49.748082796063798</v>
      </c>
      <c r="I96" s="33">
        <f t="shared" si="6"/>
        <v>54.527019386718877</v>
      </c>
      <c r="J96" s="33">
        <f t="shared" si="7"/>
        <v>44.96914620540872</v>
      </c>
      <c r="L96" s="17" t="s">
        <v>139</v>
      </c>
      <c r="M96" s="17">
        <v>115.79409569053276</v>
      </c>
      <c r="N96" s="17">
        <v>8.5068013593498311</v>
      </c>
      <c r="O96" s="17">
        <v>13.611943055807149</v>
      </c>
      <c r="P96" s="17">
        <v>6.4688202233331619E-11</v>
      </c>
      <c r="Q96" s="17">
        <v>97.921969251474053</v>
      </c>
      <c r="R96" s="17">
        <v>133.66622212959146</v>
      </c>
      <c r="S96" s="17">
        <v>97.921969251474053</v>
      </c>
      <c r="T96" s="17">
        <v>133.66622212959146</v>
      </c>
      <c r="U96" s="17" t="b">
        <f>P96&lt;$P$84</f>
        <v>1</v>
      </c>
    </row>
    <row r="97" spans="1:21">
      <c r="A97" s="6" t="str">
        <v>Sassuolo</v>
      </c>
      <c r="B97" s="51">
        <v>34</v>
      </c>
      <c r="C97" s="6">
        <v>1.8947368421052631</v>
      </c>
      <c r="D97" s="59"/>
      <c r="E97" s="59"/>
      <c r="F97" s="60"/>
      <c r="G97" s="60"/>
      <c r="H97" s="31">
        <f t="shared" si="5"/>
        <v>27.732745164574141</v>
      </c>
      <c r="I97" s="33">
        <f t="shared" si="6"/>
        <v>32.511681755229219</v>
      </c>
      <c r="J97" s="33">
        <f t="shared" si="7"/>
        <v>22.953808573919062</v>
      </c>
      <c r="L97" s="17" t="s">
        <v>157</v>
      </c>
      <c r="M97" s="17">
        <v>-46.47682388870038</v>
      </c>
      <c r="N97" s="17">
        <v>6.0422140496316548</v>
      </c>
      <c r="O97" s="17">
        <v>-7.6920187710883399</v>
      </c>
      <c r="P97" s="17">
        <v>4.2669367701063848E-7</v>
      </c>
      <c r="Q97" s="17">
        <v>-59.171044537003759</v>
      </c>
      <c r="R97" s="17">
        <v>-33.782603240397002</v>
      </c>
      <c r="S97" s="17">
        <v>-59.171044537003759</v>
      </c>
      <c r="T97" s="17">
        <v>-33.782603240397002</v>
      </c>
      <c r="U97" s="17" t="b">
        <f>P97&lt;$P$84</f>
        <v>1</v>
      </c>
    </row>
    <row r="98" spans="1:21">
      <c r="A98" s="6" t="str">
        <v>Catania</v>
      </c>
      <c r="B98" s="51">
        <v>32</v>
      </c>
      <c r="C98" s="6">
        <v>1.736842105263158</v>
      </c>
      <c r="D98" s="59"/>
      <c r="E98" s="59"/>
      <c r="F98" s="60"/>
      <c r="G98" s="60"/>
      <c r="H98" s="31">
        <f t="shared" si="5"/>
        <v>35.07119104173735</v>
      </c>
      <c r="I98" s="33">
        <f t="shared" si="6"/>
        <v>39.850127632392429</v>
      </c>
      <c r="J98" s="33">
        <f t="shared" si="7"/>
        <v>30.292254451082272</v>
      </c>
    </row>
    <row r="99" spans="1:21">
      <c r="A99" s="6" t="str">
        <v>Bologna</v>
      </c>
      <c r="B99" s="51">
        <v>29</v>
      </c>
      <c r="C99" s="6">
        <v>1.5263157894736843</v>
      </c>
      <c r="D99" s="59"/>
      <c r="E99" s="59"/>
      <c r="F99" s="60"/>
      <c r="G99" s="60"/>
      <c r="H99" s="31">
        <f t="shared" si="5"/>
        <v>44.855785544621639</v>
      </c>
      <c r="I99" s="33">
        <f t="shared" si="6"/>
        <v>49.634722135276718</v>
      </c>
      <c r="J99" s="33">
        <f t="shared" si="7"/>
        <v>40.076848953966561</v>
      </c>
    </row>
    <row r="100" spans="1:21">
      <c r="A100" s="6" t="str">
        <v>Livorno</v>
      </c>
      <c r="B100" s="51">
        <v>25</v>
      </c>
      <c r="C100" s="6">
        <v>2.0263157894736841</v>
      </c>
      <c r="D100" s="59"/>
      <c r="E100" s="59"/>
      <c r="F100" s="60"/>
      <c r="G100" s="60"/>
      <c r="H100" s="31">
        <f t="shared" si="5"/>
        <v>21.617373600271463</v>
      </c>
      <c r="I100" s="33">
        <f t="shared" si="6"/>
        <v>26.396310190926542</v>
      </c>
      <c r="J100" s="33">
        <f t="shared" si="7"/>
        <v>16.838437009616385</v>
      </c>
      <c r="L100" t="s">
        <v>269</v>
      </c>
      <c r="M100" t="s">
        <v>313</v>
      </c>
    </row>
    <row r="101" spans="1:21">
      <c r="A101" s="60"/>
      <c r="B101" s="60"/>
      <c r="C101" s="60"/>
      <c r="D101" s="60"/>
      <c r="E101" s="60"/>
      <c r="F101" s="60"/>
      <c r="G101" s="60"/>
      <c r="H101" s="60"/>
      <c r="I101" s="60"/>
      <c r="J101" s="60"/>
    </row>
    <row r="102" spans="1:21">
      <c r="L102" t="str">
        <f t="array" ref="L102:M103">L83:M84</f>
        <v>Multiple R</v>
      </c>
      <c r="M102" s="6">
        <v>0.87563698546696678</v>
      </c>
      <c r="N102" t="s">
        <v>283</v>
      </c>
    </row>
    <row r="103" spans="1:21">
      <c r="L103" t="str">
        <v>R Square</v>
      </c>
      <c r="M103" s="6">
        <v>0.76674013031767707</v>
      </c>
      <c r="N103" t="s">
        <v>311</v>
      </c>
    </row>
    <row r="105" spans="1:21">
      <c r="L105" t="s">
        <v>268</v>
      </c>
      <c r="M105" t="s">
        <v>297</v>
      </c>
    </row>
    <row r="106" spans="1:21">
      <c r="M106" t="s">
        <v>298</v>
      </c>
    </row>
    <row r="108" spans="1:21">
      <c r="L108" t="s">
        <v>192</v>
      </c>
      <c r="M108" t="b">
        <f>U97</f>
        <v>1</v>
      </c>
      <c r="N108" t="s">
        <v>312</v>
      </c>
    </row>
    <row r="109" spans="1:21">
      <c r="N109" t="s">
        <v>300</v>
      </c>
    </row>
    <row r="111" spans="1:21">
      <c r="A111" s="6"/>
      <c r="B111" s="6"/>
      <c r="C111" s="6"/>
      <c r="D111" s="6"/>
      <c r="L111" t="s">
        <v>284</v>
      </c>
      <c r="M111">
        <v>1</v>
      </c>
      <c r="N111" t="s">
        <v>285</v>
      </c>
    </row>
    <row r="112" spans="1:21">
      <c r="A112" s="6"/>
      <c r="B112" s="6"/>
      <c r="C112" s="6"/>
      <c r="D112" s="6"/>
      <c r="L112" t="s">
        <v>170</v>
      </c>
      <c r="M112" s="6">
        <f>(M111*$M$97)+$M$96</f>
        <v>69.317271801832376</v>
      </c>
      <c r="N112" t="s">
        <v>438</v>
      </c>
    </row>
    <row r="113" spans="1:14">
      <c r="A113" s="6"/>
      <c r="B113" s="6"/>
      <c r="C113" s="6"/>
      <c r="D113" s="6"/>
    </row>
    <row r="114" spans="1:14">
      <c r="A114" s="6"/>
      <c r="B114" s="6"/>
      <c r="C114" s="6"/>
      <c r="D114" s="6"/>
      <c r="L114" t="s">
        <v>284</v>
      </c>
      <c r="M114">
        <v>0</v>
      </c>
      <c r="N114" t="s">
        <v>286</v>
      </c>
    </row>
    <row r="115" spans="1:14">
      <c r="A115" s="6"/>
      <c r="B115" s="6"/>
      <c r="C115" s="6"/>
      <c r="D115" s="6"/>
      <c r="L115" t="s">
        <v>170</v>
      </c>
      <c r="M115" s="6">
        <f>(M114*$M$97)+$M$96</f>
        <v>115.79409569053276</v>
      </c>
      <c r="N115" t="s">
        <v>341</v>
      </c>
    </row>
    <row r="116" spans="1:14">
      <c r="A116" s="6"/>
      <c r="B116" s="6"/>
      <c r="C116" s="6"/>
      <c r="D116" s="6"/>
      <c r="N116" t="s">
        <v>418</v>
      </c>
    </row>
    <row r="117" spans="1:14">
      <c r="A117" s="6"/>
      <c r="B117" s="6"/>
      <c r="C117" s="6"/>
      <c r="D117" s="6"/>
      <c r="N117" t="s">
        <v>417</v>
      </c>
    </row>
    <row r="118" spans="1:14">
      <c r="A118" s="6"/>
      <c r="B118" s="6"/>
      <c r="C118" s="6"/>
      <c r="D118" s="6"/>
      <c r="N118" t="s">
        <v>287</v>
      </c>
    </row>
    <row r="119" spans="1:14">
      <c r="A119" s="6"/>
      <c r="B119" s="6"/>
      <c r="C119" s="6"/>
      <c r="D119" s="6"/>
    </row>
    <row r="120" spans="1:14">
      <c r="L120" t="s">
        <v>150</v>
      </c>
      <c r="M120">
        <v>70</v>
      </c>
      <c r="N120" t="s">
        <v>314</v>
      </c>
    </row>
    <row r="121" spans="1:14">
      <c r="L121" t="s">
        <v>284</v>
      </c>
      <c r="M121" s="2">
        <f>(M120-$M$96)/$M$97</f>
        <v>0.98531035167543768</v>
      </c>
      <c r="N121" t="s">
        <v>315</v>
      </c>
    </row>
    <row r="123" spans="1:14">
      <c r="L123" t="s">
        <v>392</v>
      </c>
      <c r="M123" s="58" t="s">
        <v>453</v>
      </c>
    </row>
    <row r="124" spans="1:14">
      <c r="M124" s="58" t="s">
        <v>288</v>
      </c>
    </row>
    <row r="125" spans="1:14">
      <c r="M125" s="58" t="s">
        <v>289</v>
      </c>
    </row>
    <row r="126" spans="1:14">
      <c r="M126" s="58" t="s">
        <v>290</v>
      </c>
    </row>
    <row r="127" spans="1:14">
      <c r="M127" s="58" t="s">
        <v>291</v>
      </c>
    </row>
    <row r="128" spans="1:14">
      <c r="M128" s="58" t="s">
        <v>292</v>
      </c>
    </row>
    <row r="129" spans="12:13">
      <c r="M129" s="58" t="s">
        <v>293</v>
      </c>
    </row>
    <row r="130" spans="12:13">
      <c r="M130" s="58" t="s">
        <v>294</v>
      </c>
    </row>
    <row r="133" spans="12:13">
      <c r="L133" t="s">
        <v>201</v>
      </c>
      <c r="M133" t="s">
        <v>401</v>
      </c>
    </row>
    <row r="136" spans="12:13">
      <c r="L136" t="s">
        <v>246</v>
      </c>
      <c r="M136" t="s">
        <v>342</v>
      </c>
    </row>
    <row r="137" spans="12:13">
      <c r="M137" t="s">
        <v>318</v>
      </c>
    </row>
    <row r="138" spans="12:13">
      <c r="M138" t="s">
        <v>319</v>
      </c>
    </row>
    <row r="139" spans="12:13">
      <c r="M139" t="s">
        <v>320</v>
      </c>
    </row>
    <row r="140" spans="12:13">
      <c r="M140" t="s">
        <v>316</v>
      </c>
    </row>
    <row r="141" spans="12:13">
      <c r="M141" t="s">
        <v>321</v>
      </c>
    </row>
    <row r="142" spans="12:13">
      <c r="M142" t="s">
        <v>317</v>
      </c>
    </row>
    <row r="143" spans="12:13">
      <c r="M143" t="s">
        <v>420</v>
      </c>
    </row>
    <row r="144" spans="12:13">
      <c r="M144" t="s">
        <v>419</v>
      </c>
    </row>
    <row r="145" spans="13:13">
      <c r="M145" t="s">
        <v>421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2:S92"/>
  <sheetViews>
    <sheetView workbookViewId="0">
      <selection activeCell="G9" sqref="G9"/>
    </sheetView>
  </sheetViews>
  <sheetFormatPr defaultRowHeight="15"/>
  <cols>
    <col min="1" max="1" width="24" customWidth="1"/>
    <col min="2" max="2" width="8.5703125" customWidth="1"/>
    <col min="3" max="3" width="6.7109375" customWidth="1"/>
    <col min="5" max="5" width="6.85546875" customWidth="1"/>
    <col min="6" max="6" width="12" bestFit="1" customWidth="1"/>
    <col min="7" max="7" width="28.28515625" customWidth="1"/>
    <col min="11" max="11" width="7.28515625" customWidth="1"/>
    <col min="12" max="12" width="19.140625" bestFit="1" customWidth="1"/>
    <col min="13" max="13" width="21.5703125" customWidth="1"/>
  </cols>
  <sheetData>
    <row r="2" spans="1:19">
      <c r="A2" s="35" t="s">
        <v>414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</row>
    <row r="3" spans="1:19" s="38" customForma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spans="1:19" ht="15.75" thickBot="1"/>
    <row r="5" spans="1:19">
      <c r="A5" s="64" t="s">
        <v>177</v>
      </c>
      <c r="B5" s="64"/>
      <c r="C5" s="64" t="s">
        <v>178</v>
      </c>
      <c r="D5" s="64"/>
      <c r="E5" s="64" t="s">
        <v>179</v>
      </c>
      <c r="F5" s="64"/>
      <c r="H5" s="9" t="s">
        <v>156</v>
      </c>
    </row>
    <row r="6" spans="1:19">
      <c r="A6" s="62"/>
      <c r="B6" s="62"/>
      <c r="C6" s="62"/>
      <c r="D6" s="62"/>
      <c r="E6" s="62"/>
      <c r="F6" s="62"/>
      <c r="H6" s="8" t="s">
        <v>177</v>
      </c>
      <c r="I6" s="8" t="s">
        <v>178</v>
      </c>
      <c r="J6" s="8" t="s">
        <v>179</v>
      </c>
      <c r="L6" t="s">
        <v>180</v>
      </c>
      <c r="N6" s="4" t="s">
        <v>209</v>
      </c>
      <c r="O6">
        <f>COUNT(H7:J23)</f>
        <v>20</v>
      </c>
      <c r="P6" s="61" t="s">
        <v>351</v>
      </c>
    </row>
    <row r="7" spans="1:19">
      <c r="A7" s="62" t="s">
        <v>121</v>
      </c>
      <c r="B7" s="62">
        <v>12.530031966803227</v>
      </c>
      <c r="C7" s="62" t="s">
        <v>121</v>
      </c>
      <c r="D7" s="62">
        <v>10.179482241329286</v>
      </c>
      <c r="E7" s="62" t="s">
        <v>121</v>
      </c>
      <c r="F7" s="62">
        <v>7.3710815596542503</v>
      </c>
      <c r="H7" s="29">
        <f t="array" ref="H7:H10">CorrelReg!D6:D9</f>
        <v>13.2890365448505</v>
      </c>
      <c r="I7" s="29">
        <f t="array" ref="I7:I18">CorrelReg!D10:D21</f>
        <v>11.355311355311356</v>
      </c>
      <c r="J7" s="29">
        <f t="array" ref="J7:J10">CorrelReg!D22:D25</f>
        <v>8.7398373983739841</v>
      </c>
      <c r="N7" s="4" t="s">
        <v>207</v>
      </c>
      <c r="O7">
        <f>COUNTA(H6:J6)</f>
        <v>3</v>
      </c>
      <c r="P7" s="61" t="s">
        <v>352</v>
      </c>
    </row>
    <row r="8" spans="1:19" ht="15.75" thickBot="1">
      <c r="A8" s="62" t="s">
        <v>135</v>
      </c>
      <c r="B8" s="62">
        <v>0.48561110034650334</v>
      </c>
      <c r="C8" s="62" t="s">
        <v>135</v>
      </c>
      <c r="D8" s="62">
        <v>0.4941062879605192</v>
      </c>
      <c r="E8" s="62" t="s">
        <v>135</v>
      </c>
      <c r="F8" s="62">
        <v>0.67497249219750433</v>
      </c>
      <c r="H8" s="29">
        <v>12.162162162162163</v>
      </c>
      <c r="I8" s="29">
        <v>11.740890688259109</v>
      </c>
      <c r="J8" s="29">
        <v>7.0247933884297522</v>
      </c>
      <c r="L8" t="s">
        <v>181</v>
      </c>
    </row>
    <row r="9" spans="1:19">
      <c r="A9" s="62" t="s">
        <v>158</v>
      </c>
      <c r="B9" s="62">
        <v>12.725599353506333</v>
      </c>
      <c r="C9" s="62" t="s">
        <v>158</v>
      </c>
      <c r="D9" s="62">
        <v>9.8191198382952933</v>
      </c>
      <c r="E9" s="62" t="s">
        <v>158</v>
      </c>
      <c r="F9" s="62">
        <v>7.5496637749602176</v>
      </c>
      <c r="H9" s="29">
        <v>13.344887348353554</v>
      </c>
      <c r="I9" s="29">
        <v>11.530815109343937</v>
      </c>
      <c r="J9" s="29">
        <v>5.6451612903225801</v>
      </c>
      <c r="L9" s="19" t="s">
        <v>182</v>
      </c>
      <c r="M9" s="19" t="s">
        <v>168</v>
      </c>
      <c r="N9" s="19" t="s">
        <v>167</v>
      </c>
      <c r="O9" s="19" t="s">
        <v>183</v>
      </c>
      <c r="P9" s="19" t="s">
        <v>124</v>
      </c>
    </row>
    <row r="10" spans="1:19">
      <c r="A10" s="62" t="s">
        <v>159</v>
      </c>
      <c r="B10" s="62" t="e">
        <v>#N/A</v>
      </c>
      <c r="C10" s="62" t="s">
        <v>159</v>
      </c>
      <c r="D10" s="62" t="e">
        <v>#N/A</v>
      </c>
      <c r="E10" s="62" t="s">
        <v>159</v>
      </c>
      <c r="F10" s="62" t="e">
        <v>#N/A</v>
      </c>
      <c r="H10" s="29">
        <v>11.324041811846691</v>
      </c>
      <c r="I10" s="29">
        <v>9.193548387096774</v>
      </c>
      <c r="J10" s="29">
        <v>8.0745341614906838</v>
      </c>
      <c r="L10" s="17" t="s">
        <v>177</v>
      </c>
      <c r="M10" s="17">
        <v>4</v>
      </c>
      <c r="N10" s="17">
        <v>50.120127867212908</v>
      </c>
      <c r="O10" s="17">
        <v>12.530031966803227</v>
      </c>
      <c r="P10" s="17">
        <v>0.9432725631189669</v>
      </c>
    </row>
    <row r="11" spans="1:19">
      <c r="A11" s="62" t="s">
        <v>160</v>
      </c>
      <c r="B11" s="62">
        <v>0.97122220069300669</v>
      </c>
      <c r="C11" s="62" t="s">
        <v>160</v>
      </c>
      <c r="D11" s="62">
        <v>1.711634390173755</v>
      </c>
      <c r="E11" s="62" t="s">
        <v>160</v>
      </c>
      <c r="F11" s="62">
        <v>1.3499449843950087</v>
      </c>
      <c r="H11" s="29"/>
      <c r="I11" s="29">
        <v>10.018552875695732</v>
      </c>
      <c r="J11" s="29"/>
      <c r="L11" s="17" t="s">
        <v>178</v>
      </c>
      <c r="M11" s="17">
        <v>12</v>
      </c>
      <c r="N11" s="17">
        <v>122.15378689595143</v>
      </c>
      <c r="O11" s="17">
        <v>10.179482241329286</v>
      </c>
      <c r="P11" s="17">
        <v>2.9296922856254821</v>
      </c>
    </row>
    <row r="12" spans="1:19" ht="15.75" thickBot="1">
      <c r="A12" s="62" t="s">
        <v>161</v>
      </c>
      <c r="B12" s="62">
        <v>0.9432725631189669</v>
      </c>
      <c r="C12" s="62" t="s">
        <v>161</v>
      </c>
      <c r="D12" s="62">
        <v>2.9296922856254821</v>
      </c>
      <c r="E12" s="62" t="s">
        <v>161</v>
      </c>
      <c r="F12" s="62">
        <v>1.8223514608932401</v>
      </c>
      <c r="H12" s="29"/>
      <c r="I12" s="29">
        <v>13.507625272331156</v>
      </c>
      <c r="J12" s="29"/>
      <c r="L12" s="18" t="s">
        <v>179</v>
      </c>
      <c r="M12" s="18">
        <v>4</v>
      </c>
      <c r="N12" s="18">
        <v>29.484326238617001</v>
      </c>
      <c r="O12" s="18">
        <v>7.3710815596542503</v>
      </c>
      <c r="P12" s="18">
        <v>1.8223514608932401</v>
      </c>
    </row>
    <row r="13" spans="1:19">
      <c r="A13" s="62" t="s">
        <v>162</v>
      </c>
      <c r="B13" s="62">
        <v>-2.6117544357776179</v>
      </c>
      <c r="C13" s="62" t="s">
        <v>162</v>
      </c>
      <c r="D13" s="62">
        <v>5.7188901545519144E-2</v>
      </c>
      <c r="E13" s="62" t="s">
        <v>162</v>
      </c>
      <c r="F13" s="62">
        <v>-0.81043454353765476</v>
      </c>
      <c r="H13" s="29"/>
      <c r="I13" s="29">
        <v>9.6196868008948542</v>
      </c>
      <c r="J13" s="29"/>
    </row>
    <row r="14" spans="1:19">
      <c r="A14" s="62" t="s">
        <v>163</v>
      </c>
      <c r="B14" s="62">
        <v>-0.6007035752124007</v>
      </c>
      <c r="C14" s="62" t="s">
        <v>163</v>
      </c>
      <c r="D14" s="62">
        <v>0.23400689899017621</v>
      </c>
      <c r="E14" s="62" t="s">
        <v>163</v>
      </c>
      <c r="F14" s="62">
        <v>-0.61522363370865873</v>
      </c>
      <c r="H14" s="29"/>
      <c r="I14" s="29">
        <v>9.2130518234165066</v>
      </c>
      <c r="J14" s="29"/>
      <c r="N14" s="4" t="s">
        <v>349</v>
      </c>
      <c r="O14">
        <f>SUM(H7:J23)/COUNT(H7:J23)</f>
        <v>10.087912050089065</v>
      </c>
      <c r="P14" s="61" t="s">
        <v>350</v>
      </c>
    </row>
    <row r="15" spans="1:19" ht="15.75" thickBot="1">
      <c r="A15" s="62" t="s">
        <v>164</v>
      </c>
      <c r="B15" s="62">
        <v>2.0208455365068634</v>
      </c>
      <c r="C15" s="62" t="s">
        <v>164</v>
      </c>
      <c r="D15" s="62">
        <v>6.24266800737389</v>
      </c>
      <c r="E15" s="62" t="s">
        <v>164</v>
      </c>
      <c r="F15" s="62">
        <v>3.094676108051404</v>
      </c>
      <c r="H15" s="29"/>
      <c r="I15" s="29">
        <v>9.5435684647302903</v>
      </c>
      <c r="J15" s="29"/>
      <c r="L15" t="s">
        <v>136</v>
      </c>
    </row>
    <row r="16" spans="1:19">
      <c r="A16" s="62" t="s">
        <v>165</v>
      </c>
      <c r="B16" s="62">
        <v>11.324041811846691</v>
      </c>
      <c r="C16" s="62" t="s">
        <v>165</v>
      </c>
      <c r="D16" s="62">
        <v>7.2649572649572658</v>
      </c>
      <c r="E16" s="62" t="s">
        <v>165</v>
      </c>
      <c r="F16" s="62">
        <v>5.6451612903225801</v>
      </c>
      <c r="H16" s="29"/>
      <c r="I16" s="29">
        <v>10.933333333333334</v>
      </c>
      <c r="J16" s="29"/>
      <c r="L16" s="19" t="s">
        <v>184</v>
      </c>
      <c r="M16" s="19" t="s">
        <v>140</v>
      </c>
      <c r="N16" s="19" t="s">
        <v>126</v>
      </c>
      <c r="O16" s="19" t="s">
        <v>141</v>
      </c>
      <c r="P16" s="19" t="s">
        <v>96</v>
      </c>
      <c r="Q16" s="19" t="s">
        <v>144</v>
      </c>
      <c r="R16" s="19" t="s">
        <v>185</v>
      </c>
    </row>
    <row r="17" spans="1:18">
      <c r="A17" s="62" t="s">
        <v>166</v>
      </c>
      <c r="B17" s="62">
        <v>13.344887348353554</v>
      </c>
      <c r="C17" s="62" t="s">
        <v>166</v>
      </c>
      <c r="D17" s="62">
        <v>13.507625272331156</v>
      </c>
      <c r="E17" s="62" t="s">
        <v>166</v>
      </c>
      <c r="F17" s="62">
        <v>8.7398373983739841</v>
      </c>
      <c r="H17" s="29"/>
      <c r="I17" s="29">
        <v>7.2649572649572658</v>
      </c>
      <c r="J17" s="29"/>
      <c r="L17" s="17" t="s">
        <v>186</v>
      </c>
      <c r="M17" s="17">
        <v>53.481091604558287</v>
      </c>
      <c r="N17" s="17">
        <v>2</v>
      </c>
      <c r="O17" s="17">
        <v>26.740545802279144</v>
      </c>
      <c r="P17" s="17">
        <v>11.217921010574516</v>
      </c>
      <c r="Q17" s="17">
        <v>7.8296315845922558E-4</v>
      </c>
      <c r="R17" s="17">
        <v>3.5915305685269994</v>
      </c>
    </row>
    <row r="18" spans="1:18">
      <c r="A18" s="62" t="s">
        <v>167</v>
      </c>
      <c r="B18" s="62">
        <v>50.120127867212908</v>
      </c>
      <c r="C18" s="62" t="s">
        <v>167</v>
      </c>
      <c r="D18" s="62">
        <v>122.15378689595143</v>
      </c>
      <c r="E18" s="62" t="s">
        <v>167</v>
      </c>
      <c r="F18" s="62">
        <v>29.484326238617001</v>
      </c>
      <c r="H18" s="29"/>
      <c r="I18" s="29">
        <v>8.2324455205811145</v>
      </c>
      <c r="J18" s="29"/>
      <c r="L18" s="17" t="s">
        <v>187</v>
      </c>
      <c r="M18" s="17">
        <v>40.523487213916837</v>
      </c>
      <c r="N18" s="17">
        <v>17</v>
      </c>
      <c r="O18" s="17">
        <v>2.3837345419951079</v>
      </c>
      <c r="P18" s="17"/>
      <c r="Q18" s="17"/>
      <c r="R18" s="17"/>
    </row>
    <row r="19" spans="1:18">
      <c r="A19" s="62" t="s">
        <v>168</v>
      </c>
      <c r="B19" s="62">
        <v>4</v>
      </c>
      <c r="C19" s="62" t="s">
        <v>168</v>
      </c>
      <c r="D19" s="62">
        <v>12</v>
      </c>
      <c r="E19" s="62" t="s">
        <v>168</v>
      </c>
      <c r="F19" s="62">
        <v>4</v>
      </c>
      <c r="H19" s="29"/>
      <c r="I19" s="29"/>
      <c r="J19" s="29"/>
      <c r="L19" s="17"/>
      <c r="M19" s="17"/>
      <c r="N19" s="17"/>
      <c r="O19" s="17"/>
      <c r="P19" s="17"/>
      <c r="Q19" s="17"/>
      <c r="R19" s="17"/>
    </row>
    <row r="20" spans="1:18" ht="15.75" thickBot="1">
      <c r="A20" s="63" t="s">
        <v>169</v>
      </c>
      <c r="B20" s="63">
        <v>1.5454312519097806</v>
      </c>
      <c r="C20" s="63" t="s">
        <v>169</v>
      </c>
      <c r="D20" s="63">
        <v>1.0875206066322431</v>
      </c>
      <c r="E20" s="63" t="s">
        <v>169</v>
      </c>
      <c r="F20" s="63">
        <v>2.1480637136942349</v>
      </c>
      <c r="H20" s="29"/>
      <c r="I20" s="29"/>
      <c r="J20" s="29"/>
      <c r="L20" s="18" t="s">
        <v>120</v>
      </c>
      <c r="M20" s="18">
        <v>94.004578818475125</v>
      </c>
      <c r="N20" s="18">
        <v>19</v>
      </c>
      <c r="O20" s="18"/>
      <c r="P20" s="18"/>
      <c r="Q20" s="18"/>
      <c r="R20" s="18"/>
    </row>
    <row r="21" spans="1:18">
      <c r="H21" s="29"/>
      <c r="I21" s="29"/>
      <c r="J21" s="29"/>
    </row>
    <row r="22" spans="1:18">
      <c r="H22" s="29"/>
      <c r="I22" s="29"/>
      <c r="J22" s="29"/>
    </row>
    <row r="23" spans="1:18">
      <c r="A23" t="s">
        <v>269</v>
      </c>
      <c r="B23" t="s">
        <v>358</v>
      </c>
      <c r="H23" s="29"/>
      <c r="I23" s="29"/>
      <c r="J23" s="29"/>
    </row>
    <row r="24" spans="1:18">
      <c r="B24" t="s">
        <v>364</v>
      </c>
    </row>
    <row r="25" spans="1:18">
      <c r="B25" t="s">
        <v>363</v>
      </c>
    </row>
    <row r="26" spans="1:18">
      <c r="B26" t="s">
        <v>359</v>
      </c>
      <c r="H26" t="str">
        <f t="array" ref="H26:H46">League!B1:B21</f>
        <v>Team</v>
      </c>
      <c r="I26" t="str">
        <f t="array" ref="I26:I46">CorrelReg!B5:B25</f>
        <v>Points</v>
      </c>
      <c r="J26" t="str">
        <f>H5</f>
        <v>GF to S</v>
      </c>
    </row>
    <row r="27" spans="1:18">
      <c r="B27" t="s">
        <v>360</v>
      </c>
      <c r="H27" t="str">
        <v>Juventus</v>
      </c>
      <c r="I27">
        <v>102</v>
      </c>
      <c r="J27" s="36">
        <f t="array" ref="J27:J30">H7:H10/100</f>
        <v>0.13289036544850499</v>
      </c>
    </row>
    <row r="28" spans="1:18">
      <c r="B28" t="s">
        <v>361</v>
      </c>
      <c r="H28" t="str">
        <v>Roma</v>
      </c>
      <c r="I28">
        <v>85</v>
      </c>
      <c r="J28" s="36">
        <v>0.12162162162162163</v>
      </c>
    </row>
    <row r="29" spans="1:18">
      <c r="B29" t="s">
        <v>362</v>
      </c>
      <c r="H29" t="str">
        <v>Napoli</v>
      </c>
      <c r="I29">
        <v>78</v>
      </c>
      <c r="J29" s="36">
        <v>0.13344887348353554</v>
      </c>
    </row>
    <row r="30" spans="1:18">
      <c r="H30" t="str">
        <v>Fiorentina</v>
      </c>
      <c r="I30">
        <v>65</v>
      </c>
      <c r="J30" s="36">
        <v>0.11324041811846691</v>
      </c>
    </row>
    <row r="31" spans="1:18">
      <c r="A31" t="s">
        <v>236</v>
      </c>
      <c r="B31" t="s">
        <v>381</v>
      </c>
      <c r="H31" t="str">
        <v>Inter</v>
      </c>
      <c r="I31">
        <v>60</v>
      </c>
      <c r="J31" s="36">
        <f t="array" ref="J31:J42">I7:I18/100</f>
        <v>0.11355311355311355</v>
      </c>
    </row>
    <row r="32" spans="1:18">
      <c r="A32" t="s">
        <v>237</v>
      </c>
      <c r="B32" t="s">
        <v>382</v>
      </c>
      <c r="H32" t="str">
        <v>Parma</v>
      </c>
      <c r="I32">
        <v>58</v>
      </c>
      <c r="J32" s="36">
        <v>0.11740890688259109</v>
      </c>
    </row>
    <row r="33" spans="1:10">
      <c r="H33" t="str">
        <v>Torino</v>
      </c>
      <c r="I33">
        <v>57</v>
      </c>
      <c r="J33" s="36">
        <v>0.11530815109343936</v>
      </c>
    </row>
    <row r="34" spans="1:10">
      <c r="A34" t="s">
        <v>268</v>
      </c>
      <c r="B34" t="s">
        <v>348</v>
      </c>
      <c r="E34" t="s">
        <v>375</v>
      </c>
      <c r="H34" t="str">
        <v>Milan</v>
      </c>
      <c r="I34">
        <v>57</v>
      </c>
      <c r="J34" s="36">
        <v>9.1935483870967741E-2</v>
      </c>
    </row>
    <row r="35" spans="1:10">
      <c r="B35" t="s">
        <v>376</v>
      </c>
      <c r="E35" t="s">
        <v>379</v>
      </c>
      <c r="H35" t="str">
        <v>Lazio</v>
      </c>
      <c r="I35">
        <v>56</v>
      </c>
      <c r="J35" s="36">
        <v>0.10018552875695733</v>
      </c>
    </row>
    <row r="36" spans="1:10">
      <c r="B36" t="s">
        <v>377</v>
      </c>
      <c r="E36" t="s">
        <v>380</v>
      </c>
      <c r="H36" t="str">
        <v>Verona</v>
      </c>
      <c r="I36">
        <v>54</v>
      </c>
      <c r="J36" s="36">
        <v>0.13507625272331156</v>
      </c>
    </row>
    <row r="37" spans="1:10">
      <c r="B37" t="s">
        <v>378</v>
      </c>
      <c r="H37" t="str">
        <v>Atalanta</v>
      </c>
      <c r="I37">
        <v>50</v>
      </c>
      <c r="J37" s="36">
        <v>9.6196868008948541E-2</v>
      </c>
    </row>
    <row r="38" spans="1:10">
      <c r="H38" t="str">
        <v>Sampdoria</v>
      </c>
      <c r="I38">
        <v>45</v>
      </c>
      <c r="J38" s="36">
        <v>9.2130518234165071E-2</v>
      </c>
    </row>
    <row r="39" spans="1:10">
      <c r="A39" t="s">
        <v>190</v>
      </c>
      <c r="B39">
        <v>0.05</v>
      </c>
      <c r="H39" t="str">
        <v>Udinese</v>
      </c>
      <c r="I39">
        <v>44</v>
      </c>
      <c r="J39" s="36">
        <v>9.5435684647302899E-2</v>
      </c>
    </row>
    <row r="40" spans="1:10">
      <c r="A40" t="s">
        <v>189</v>
      </c>
      <c r="B40">
        <f>IF(FDIST(P17,N17,N18)=Q17,Q17,FDIST(P17,N17,N18))</f>
        <v>7.8296315845922558E-4</v>
      </c>
      <c r="C40" t="b">
        <f>B40&lt;B39</f>
        <v>1</v>
      </c>
      <c r="H40" t="str">
        <v>Genoa</v>
      </c>
      <c r="I40">
        <v>44</v>
      </c>
      <c r="J40" s="36">
        <v>0.10933333333333334</v>
      </c>
    </row>
    <row r="41" spans="1:10">
      <c r="A41" t="s">
        <v>365</v>
      </c>
      <c r="B41" s="65">
        <f>IF(FINV(B40,N17,N18)=P17,P17,FINV(B40,N17,N18))</f>
        <v>11.217921010574516</v>
      </c>
      <c r="C41" t="b">
        <f>B41&gt;B42</f>
        <v>1</v>
      </c>
      <c r="H41" t="str">
        <v>Cagliari</v>
      </c>
      <c r="I41">
        <v>39</v>
      </c>
      <c r="J41" s="36">
        <v>7.2649572649572655E-2</v>
      </c>
    </row>
    <row r="42" spans="1:10">
      <c r="A42" t="s">
        <v>366</v>
      </c>
      <c r="B42">
        <f>IF(FINV(B39,N17,N18)=R17,R17,FINV(B39,N17,N18))</f>
        <v>3.5915305685269994</v>
      </c>
      <c r="H42" t="str">
        <v>Chievo</v>
      </c>
      <c r="I42">
        <v>36</v>
      </c>
      <c r="J42" s="36">
        <v>8.2324455205811151E-2</v>
      </c>
    </row>
    <row r="43" spans="1:10">
      <c r="A43" t="s">
        <v>192</v>
      </c>
      <c r="B43" t="b">
        <f>C40=C41</f>
        <v>1</v>
      </c>
      <c r="C43" t="s">
        <v>374</v>
      </c>
      <c r="D43" t="s">
        <v>367</v>
      </c>
      <c r="H43" t="str">
        <v>Sassuolo</v>
      </c>
      <c r="I43">
        <v>34</v>
      </c>
      <c r="J43" s="36">
        <f t="array" ref="J43:J46">J7:J10/100</f>
        <v>8.7398373983739841E-2</v>
      </c>
    </row>
    <row r="44" spans="1:10">
      <c r="D44" t="s">
        <v>368</v>
      </c>
      <c r="H44" t="str">
        <v>Catania</v>
      </c>
      <c r="I44">
        <v>32</v>
      </c>
      <c r="J44" s="36">
        <v>7.0247933884297523E-2</v>
      </c>
    </row>
    <row r="45" spans="1:10">
      <c r="D45" t="s">
        <v>369</v>
      </c>
      <c r="H45" t="str">
        <v>Bologna</v>
      </c>
      <c r="I45">
        <v>29</v>
      </c>
      <c r="J45" s="36">
        <v>5.6451612903225798E-2</v>
      </c>
    </row>
    <row r="46" spans="1:10">
      <c r="D46" t="s">
        <v>370</v>
      </c>
      <c r="H46" t="str">
        <v>Livorno</v>
      </c>
      <c r="I46">
        <v>25</v>
      </c>
      <c r="J46" s="36">
        <v>8.0745341614906832E-2</v>
      </c>
    </row>
    <row r="47" spans="1:10">
      <c r="D47" t="s">
        <v>371</v>
      </c>
    </row>
    <row r="48" spans="1:10">
      <c r="D48" t="s">
        <v>372</v>
      </c>
    </row>
    <row r="49" spans="1:6">
      <c r="D49" t="s">
        <v>373</v>
      </c>
    </row>
    <row r="51" spans="1:6">
      <c r="A51" t="s">
        <v>389</v>
      </c>
      <c r="C51" s="67" t="s">
        <v>211</v>
      </c>
      <c r="D51" s="67" t="s">
        <v>212</v>
      </c>
      <c r="E51" s="67" t="s">
        <v>213</v>
      </c>
      <c r="F51" s="67" t="s">
        <v>387</v>
      </c>
    </row>
    <row r="52" spans="1:6">
      <c r="A52" t="s">
        <v>388</v>
      </c>
      <c r="C52" s="67">
        <v>0.1</v>
      </c>
      <c r="D52" s="67">
        <v>0.3</v>
      </c>
      <c r="E52" s="67">
        <v>0.5</v>
      </c>
      <c r="F52" s="67">
        <v>1.4</v>
      </c>
    </row>
    <row r="54" spans="1:6">
      <c r="A54" t="s">
        <v>354</v>
      </c>
      <c r="B54" s="6">
        <f>(O10-O11)/O18</f>
        <v>0.98607864427160918</v>
      </c>
      <c r="E54" s="66"/>
    </row>
    <row r="55" spans="1:6">
      <c r="A55" t="s">
        <v>355</v>
      </c>
      <c r="B55" s="6">
        <f>(O10-O12)/O18</f>
        <v>2.1642302514235094</v>
      </c>
      <c r="F55" s="66"/>
    </row>
    <row r="56" spans="1:6">
      <c r="A56" t="s">
        <v>356</v>
      </c>
      <c r="B56" s="6">
        <f>(O11-O12)/O18</f>
        <v>1.1781516071519003</v>
      </c>
      <c r="E56" s="66"/>
    </row>
    <row r="58" spans="1:6">
      <c r="A58" t="s">
        <v>393</v>
      </c>
      <c r="B58" s="7">
        <f>M17/M20</f>
        <v>0.56892007045562565</v>
      </c>
      <c r="C58" t="s">
        <v>405</v>
      </c>
    </row>
    <row r="59" spans="1:6">
      <c r="B59" s="6"/>
      <c r="C59" t="s">
        <v>384</v>
      </c>
    </row>
    <row r="60" spans="1:6">
      <c r="C60" t="s">
        <v>385</v>
      </c>
    </row>
    <row r="61" spans="1:6">
      <c r="C61" t="s">
        <v>394</v>
      </c>
    </row>
    <row r="62" spans="1:6">
      <c r="C62" t="s">
        <v>395</v>
      </c>
    </row>
    <row r="63" spans="1:6">
      <c r="C63" t="s">
        <v>396</v>
      </c>
    </row>
    <row r="65" spans="1:6">
      <c r="A65" t="s">
        <v>353</v>
      </c>
      <c r="B65" s="6" t="s">
        <v>406</v>
      </c>
    </row>
    <row r="66" spans="1:6">
      <c r="B66" s="6" t="s">
        <v>357</v>
      </c>
    </row>
    <row r="68" spans="1:6">
      <c r="A68" t="s">
        <v>224</v>
      </c>
    </row>
    <row r="69" spans="1:6">
      <c r="B69" s="4" t="s">
        <v>177</v>
      </c>
      <c r="C69" s="4"/>
      <c r="D69" s="4" t="s">
        <v>178</v>
      </c>
      <c r="E69" s="4"/>
      <c r="F69" s="4" t="s">
        <v>179</v>
      </c>
    </row>
    <row r="70" spans="1:6">
      <c r="A70" t="s">
        <v>225</v>
      </c>
      <c r="B70" s="7">
        <f>B20</f>
        <v>1.5454312519097806</v>
      </c>
      <c r="C70" s="7"/>
      <c r="D70" s="7">
        <f>D20</f>
        <v>1.0875206066322431</v>
      </c>
      <c r="E70" s="7"/>
      <c r="F70" s="7">
        <f>F20</f>
        <v>2.1480637136942349</v>
      </c>
    </row>
    <row r="71" spans="1:6">
      <c r="A71" t="s">
        <v>226</v>
      </c>
      <c r="B71" s="7">
        <f>B$7-B$70</f>
        <v>10.984600714893446</v>
      </c>
      <c r="C71" s="7"/>
      <c r="D71" s="7">
        <f>D$7-D$70</f>
        <v>9.0919616346970429</v>
      </c>
      <c r="E71" s="7"/>
      <c r="F71" s="7">
        <f>F$7-F$70</f>
        <v>5.2230178459600154</v>
      </c>
    </row>
    <row r="72" spans="1:6">
      <c r="A72" s="68" t="s">
        <v>234</v>
      </c>
      <c r="B72" s="69">
        <f>B$7</f>
        <v>12.530031966803227</v>
      </c>
      <c r="C72" s="69"/>
      <c r="D72" s="69">
        <f>D$7</f>
        <v>10.179482241329286</v>
      </c>
      <c r="E72" s="69"/>
      <c r="F72" s="69">
        <f>F$7</f>
        <v>7.3710815596542503</v>
      </c>
    </row>
    <row r="73" spans="1:6">
      <c r="A73" t="s">
        <v>227</v>
      </c>
      <c r="B73" s="7">
        <f>B$7+B$70</f>
        <v>14.075463218713008</v>
      </c>
      <c r="C73" s="7"/>
      <c r="D73" s="7">
        <f>D$7+D$70</f>
        <v>11.267002847961528</v>
      </c>
      <c r="E73" s="7"/>
      <c r="F73" s="7">
        <f>F$7+F$70</f>
        <v>9.5191452733484851</v>
      </c>
    </row>
    <row r="76" spans="1:6">
      <c r="A76" t="s">
        <v>201</v>
      </c>
      <c r="B76" t="s">
        <v>383</v>
      </c>
    </row>
    <row r="77" spans="1:6">
      <c r="B77" t="s">
        <v>386</v>
      </c>
    </row>
    <row r="78" spans="1:6">
      <c r="B78" t="s">
        <v>397</v>
      </c>
    </row>
    <row r="79" spans="1:6">
      <c r="B79" t="s">
        <v>398</v>
      </c>
    </row>
    <row r="80" spans="1:6">
      <c r="B80" t="s">
        <v>399</v>
      </c>
    </row>
    <row r="81" spans="1:2">
      <c r="B81" t="s">
        <v>410</v>
      </c>
    </row>
    <row r="82" spans="1:2">
      <c r="B82" t="s">
        <v>411</v>
      </c>
    </row>
    <row r="83" spans="1:2">
      <c r="B83" t="s">
        <v>412</v>
      </c>
    </row>
    <row r="86" spans="1:2">
      <c r="A86" t="s">
        <v>246</v>
      </c>
      <c r="B86" t="s">
        <v>402</v>
      </c>
    </row>
    <row r="87" spans="1:2">
      <c r="B87" t="s">
        <v>403</v>
      </c>
    </row>
    <row r="88" spans="1:2">
      <c r="B88" t="s">
        <v>407</v>
      </c>
    </row>
    <row r="89" spans="1:2">
      <c r="B89" t="s">
        <v>408</v>
      </c>
    </row>
    <row r="90" spans="1:2">
      <c r="B90" t="s">
        <v>409</v>
      </c>
    </row>
    <row r="91" spans="1:2">
      <c r="B91" t="s">
        <v>413</v>
      </c>
    </row>
    <row r="92" spans="1:2">
      <c r="B92" t="s">
        <v>404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A80"/>
  <sheetViews>
    <sheetView workbookViewId="0">
      <selection activeCell="G14" sqref="G14"/>
    </sheetView>
  </sheetViews>
  <sheetFormatPr defaultRowHeight="15"/>
  <cols>
    <col min="1" max="1" width="7.85546875" bestFit="1" customWidth="1"/>
  </cols>
  <sheetData>
    <row r="1" spans="1:27">
      <c r="A1" t="s">
        <v>112</v>
      </c>
      <c r="B1" s="4" t="s">
        <v>69</v>
      </c>
      <c r="D1" t="s">
        <v>113</v>
      </c>
      <c r="E1" t="s">
        <v>73</v>
      </c>
    </row>
    <row r="2" spans="1:27">
      <c r="B2" s="4"/>
    </row>
    <row r="4" spans="1:27">
      <c r="A4" t="s">
        <v>87</v>
      </c>
      <c r="B4" t="s">
        <v>108</v>
      </c>
      <c r="C4" t="s">
        <v>88</v>
      </c>
      <c r="D4" t="s">
        <v>109</v>
      </c>
      <c r="E4" t="s">
        <v>110</v>
      </c>
      <c r="F4" t="s">
        <v>92</v>
      </c>
      <c r="G4" t="s">
        <v>93</v>
      </c>
      <c r="H4" t="s">
        <v>111</v>
      </c>
      <c r="I4" t="s">
        <v>94</v>
      </c>
      <c r="J4" t="s">
        <v>95</v>
      </c>
      <c r="K4" t="s">
        <v>96</v>
      </c>
      <c r="L4" t="s">
        <v>97</v>
      </c>
      <c r="M4" t="s">
        <v>99</v>
      </c>
      <c r="N4" t="s">
        <v>23</v>
      </c>
      <c r="O4" t="s">
        <v>98</v>
      </c>
      <c r="P4" t="s">
        <v>100</v>
      </c>
      <c r="Q4" t="s">
        <v>26</v>
      </c>
      <c r="R4" t="s">
        <v>101</v>
      </c>
      <c r="S4" t="s">
        <v>102</v>
      </c>
      <c r="T4" t="s">
        <v>32</v>
      </c>
      <c r="U4" t="s">
        <v>103</v>
      </c>
      <c r="V4" t="s">
        <v>104</v>
      </c>
      <c r="W4" t="s">
        <v>35</v>
      </c>
      <c r="X4" t="s">
        <v>105</v>
      </c>
      <c r="Y4" t="s">
        <v>106</v>
      </c>
      <c r="Z4" t="s">
        <v>38</v>
      </c>
      <c r="AA4" t="s">
        <v>107</v>
      </c>
    </row>
    <row r="5" spans="1:27">
      <c r="A5" s="1" t="str">
        <f t="array" ref="A5:A42">$B$1</f>
        <v>Milan</v>
      </c>
      <c r="B5">
        <v>1</v>
      </c>
      <c r="C5">
        <v>0</v>
      </c>
      <c r="D5" t="s">
        <v>66</v>
      </c>
      <c r="E5" t="s">
        <v>91</v>
      </c>
      <c r="F5">
        <v>1</v>
      </c>
      <c r="G5">
        <v>2</v>
      </c>
      <c r="H5">
        <v>15</v>
      </c>
      <c r="I5">
        <v>5</v>
      </c>
      <c r="J5">
        <v>5</v>
      </c>
      <c r="K5">
        <v>14</v>
      </c>
      <c r="L5">
        <v>3</v>
      </c>
      <c r="M5">
        <v>1.75</v>
      </c>
      <c r="N5">
        <v>3.6</v>
      </c>
      <c r="O5">
        <v>4.75</v>
      </c>
      <c r="P5">
        <v>1.7</v>
      </c>
      <c r="Q5">
        <v>3.75</v>
      </c>
      <c r="R5">
        <v>4.75</v>
      </c>
      <c r="S5">
        <v>1.75</v>
      </c>
      <c r="T5">
        <v>3.6</v>
      </c>
      <c r="U5">
        <v>4.8</v>
      </c>
      <c r="V5">
        <v>1.79</v>
      </c>
      <c r="W5">
        <v>3.69</v>
      </c>
      <c r="X5">
        <v>5.15</v>
      </c>
      <c r="Y5">
        <v>1.75</v>
      </c>
      <c r="Z5">
        <v>3.6</v>
      </c>
      <c r="AA5">
        <v>4.75</v>
      </c>
    </row>
    <row r="6" spans="1:27">
      <c r="A6" s="3" t="str">
        <v>Milan</v>
      </c>
      <c r="B6">
        <v>2</v>
      </c>
      <c r="C6">
        <v>3</v>
      </c>
      <c r="D6" t="s">
        <v>70</v>
      </c>
      <c r="E6" t="s">
        <v>90</v>
      </c>
      <c r="F6">
        <v>3</v>
      </c>
      <c r="G6">
        <v>1</v>
      </c>
      <c r="H6">
        <v>17</v>
      </c>
      <c r="I6">
        <v>8</v>
      </c>
      <c r="J6">
        <v>3</v>
      </c>
      <c r="K6">
        <v>25</v>
      </c>
      <c r="L6">
        <v>1</v>
      </c>
      <c r="M6">
        <v>1.4</v>
      </c>
      <c r="N6">
        <v>4.5</v>
      </c>
      <c r="O6">
        <v>7.5</v>
      </c>
      <c r="P6">
        <v>1.36</v>
      </c>
      <c r="Q6">
        <v>4.5999999999999996</v>
      </c>
      <c r="R6">
        <v>8.75</v>
      </c>
      <c r="S6">
        <v>1.4</v>
      </c>
      <c r="T6">
        <v>4.5</v>
      </c>
      <c r="U6">
        <v>8</v>
      </c>
      <c r="V6">
        <v>1.41</v>
      </c>
      <c r="W6">
        <v>4.87</v>
      </c>
      <c r="X6">
        <v>9.65</v>
      </c>
      <c r="Y6">
        <v>1.4</v>
      </c>
      <c r="Z6">
        <v>4.5</v>
      </c>
      <c r="AA6">
        <v>8</v>
      </c>
    </row>
    <row r="7" spans="1:27">
      <c r="A7" s="3" t="str">
        <v>Milan</v>
      </c>
      <c r="B7">
        <v>3</v>
      </c>
      <c r="C7">
        <v>1</v>
      </c>
      <c r="D7" t="s">
        <v>66</v>
      </c>
      <c r="E7" t="s">
        <v>67</v>
      </c>
      <c r="F7">
        <v>2</v>
      </c>
      <c r="G7">
        <v>2</v>
      </c>
      <c r="H7">
        <v>14</v>
      </c>
      <c r="I7">
        <v>5</v>
      </c>
      <c r="J7">
        <v>4</v>
      </c>
      <c r="K7">
        <v>16</v>
      </c>
      <c r="L7">
        <v>2</v>
      </c>
      <c r="M7">
        <v>1.73</v>
      </c>
      <c r="N7">
        <v>3.6</v>
      </c>
      <c r="O7">
        <v>4.75</v>
      </c>
      <c r="P7">
        <v>1.72</v>
      </c>
      <c r="Q7">
        <v>3.6</v>
      </c>
      <c r="R7">
        <v>4.75</v>
      </c>
      <c r="S7">
        <v>1.83</v>
      </c>
      <c r="T7">
        <v>3.4</v>
      </c>
      <c r="U7">
        <v>4.5</v>
      </c>
      <c r="V7">
        <v>1.88</v>
      </c>
      <c r="W7">
        <v>3.56</v>
      </c>
      <c r="X7">
        <v>4.8099999999999996</v>
      </c>
      <c r="Y7">
        <v>1.83</v>
      </c>
      <c r="Z7">
        <v>3.5</v>
      </c>
      <c r="AA7">
        <v>4.4000000000000004</v>
      </c>
    </row>
    <row r="8" spans="1:27">
      <c r="A8" s="3" t="str">
        <v>Milan</v>
      </c>
      <c r="B8">
        <v>4</v>
      </c>
      <c r="C8">
        <v>0</v>
      </c>
      <c r="D8" t="s">
        <v>70</v>
      </c>
      <c r="E8" t="s">
        <v>91</v>
      </c>
      <c r="F8">
        <v>1</v>
      </c>
      <c r="G8">
        <v>2</v>
      </c>
      <c r="H8">
        <v>22</v>
      </c>
      <c r="I8">
        <v>8</v>
      </c>
      <c r="J8">
        <v>8</v>
      </c>
      <c r="K8">
        <v>11</v>
      </c>
      <c r="L8">
        <v>3</v>
      </c>
      <c r="M8">
        <v>2.5</v>
      </c>
      <c r="N8">
        <v>3.4</v>
      </c>
      <c r="O8">
        <v>2.7</v>
      </c>
      <c r="P8">
        <v>2.7</v>
      </c>
      <c r="Q8">
        <v>3.25</v>
      </c>
      <c r="R8">
        <v>2.6</v>
      </c>
      <c r="S8">
        <v>2.5</v>
      </c>
      <c r="T8">
        <v>3.3</v>
      </c>
      <c r="U8">
        <v>2.75</v>
      </c>
      <c r="V8">
        <v>2.69</v>
      </c>
      <c r="W8">
        <v>3.44</v>
      </c>
      <c r="X8">
        <v>2.8</v>
      </c>
      <c r="Y8">
        <v>2.6</v>
      </c>
      <c r="Z8">
        <v>3.3</v>
      </c>
      <c r="AA8">
        <v>2.7</v>
      </c>
    </row>
    <row r="9" spans="1:27">
      <c r="A9" s="3" t="str">
        <v>Milan</v>
      </c>
      <c r="B9">
        <v>5</v>
      </c>
      <c r="C9">
        <v>1</v>
      </c>
      <c r="D9" t="s">
        <v>66</v>
      </c>
      <c r="E9" t="s">
        <v>67</v>
      </c>
      <c r="F9">
        <v>3</v>
      </c>
      <c r="G9">
        <v>3</v>
      </c>
      <c r="H9">
        <v>16</v>
      </c>
      <c r="I9">
        <v>8</v>
      </c>
      <c r="J9">
        <v>9</v>
      </c>
      <c r="K9">
        <v>13</v>
      </c>
      <c r="L9">
        <v>2</v>
      </c>
      <c r="M9">
        <v>2.1</v>
      </c>
      <c r="N9">
        <v>3.4</v>
      </c>
      <c r="O9">
        <v>3.4</v>
      </c>
      <c r="P9">
        <v>2.0499999999999998</v>
      </c>
      <c r="Q9">
        <v>3.3</v>
      </c>
      <c r="R9">
        <v>3.6</v>
      </c>
      <c r="S9">
        <v>2.2000000000000002</v>
      </c>
      <c r="T9">
        <v>3.3</v>
      </c>
      <c r="U9">
        <v>3.25</v>
      </c>
      <c r="V9">
        <v>2.14</v>
      </c>
      <c r="W9">
        <v>3.35</v>
      </c>
      <c r="X9">
        <v>3.93</v>
      </c>
      <c r="Y9">
        <v>2.15</v>
      </c>
      <c r="Z9">
        <v>3.2</v>
      </c>
      <c r="AA9">
        <v>3.6</v>
      </c>
    </row>
    <row r="10" spans="1:27">
      <c r="A10" s="3" t="str">
        <v>Milan</v>
      </c>
      <c r="B10">
        <v>6</v>
      </c>
      <c r="C10">
        <v>3</v>
      </c>
      <c r="D10" t="s">
        <v>70</v>
      </c>
      <c r="E10" t="s">
        <v>90</v>
      </c>
      <c r="F10">
        <v>1</v>
      </c>
      <c r="G10">
        <v>0</v>
      </c>
      <c r="H10">
        <v>16</v>
      </c>
      <c r="I10">
        <v>5</v>
      </c>
      <c r="J10">
        <v>7</v>
      </c>
      <c r="K10">
        <v>10</v>
      </c>
      <c r="L10">
        <v>0</v>
      </c>
      <c r="M10">
        <v>1.5</v>
      </c>
      <c r="N10">
        <v>4</v>
      </c>
      <c r="O10">
        <v>7</v>
      </c>
      <c r="P10">
        <v>1.45</v>
      </c>
      <c r="Q10">
        <v>4.25</v>
      </c>
      <c r="R10">
        <v>7</v>
      </c>
      <c r="S10">
        <v>1.5</v>
      </c>
      <c r="T10">
        <v>4</v>
      </c>
      <c r="U10">
        <v>7</v>
      </c>
      <c r="V10">
        <v>1.47</v>
      </c>
      <c r="W10">
        <v>4.59</v>
      </c>
      <c r="X10">
        <v>8.25</v>
      </c>
      <c r="Y10">
        <v>1.44</v>
      </c>
      <c r="Z10">
        <v>4.33</v>
      </c>
      <c r="AA10">
        <v>7.5</v>
      </c>
    </row>
    <row r="11" spans="1:27">
      <c r="A11" s="3" t="str">
        <v>Milan</v>
      </c>
      <c r="B11">
        <v>7</v>
      </c>
      <c r="C11">
        <v>0</v>
      </c>
      <c r="D11" t="s">
        <v>66</v>
      </c>
      <c r="E11" t="s">
        <v>91</v>
      </c>
      <c r="F11">
        <v>2</v>
      </c>
      <c r="G11">
        <v>3</v>
      </c>
      <c r="H11">
        <v>8</v>
      </c>
      <c r="I11">
        <v>5</v>
      </c>
      <c r="J11">
        <v>5</v>
      </c>
      <c r="K11">
        <v>13</v>
      </c>
      <c r="L11">
        <v>3</v>
      </c>
      <c r="M11">
        <v>5.5</v>
      </c>
      <c r="N11">
        <v>4</v>
      </c>
      <c r="O11">
        <v>1.57</v>
      </c>
      <c r="P11">
        <v>5.25</v>
      </c>
      <c r="Q11">
        <v>4</v>
      </c>
      <c r="R11">
        <v>1.6</v>
      </c>
      <c r="S11">
        <v>5.5</v>
      </c>
      <c r="T11">
        <v>3.75</v>
      </c>
      <c r="U11">
        <v>1.61</v>
      </c>
      <c r="V11">
        <v>6.64</v>
      </c>
      <c r="W11">
        <v>4.2</v>
      </c>
      <c r="X11">
        <v>1.58</v>
      </c>
      <c r="Y11">
        <v>6</v>
      </c>
      <c r="Z11">
        <v>3.6</v>
      </c>
      <c r="AA11">
        <v>1.62</v>
      </c>
    </row>
    <row r="12" spans="1:27">
      <c r="A12" s="3" t="str">
        <v>Milan</v>
      </c>
      <c r="B12">
        <v>8</v>
      </c>
      <c r="C12">
        <v>3</v>
      </c>
      <c r="D12" t="s">
        <v>70</v>
      </c>
      <c r="E12" t="s">
        <v>90</v>
      </c>
      <c r="F12">
        <v>1</v>
      </c>
      <c r="G12">
        <v>0</v>
      </c>
      <c r="H12">
        <v>12</v>
      </c>
      <c r="I12">
        <v>3</v>
      </c>
      <c r="J12">
        <v>3</v>
      </c>
      <c r="K12">
        <v>13</v>
      </c>
      <c r="L12">
        <v>3</v>
      </c>
      <c r="M12">
        <v>1.67</v>
      </c>
      <c r="N12">
        <v>3.6</v>
      </c>
      <c r="O12">
        <v>5.25</v>
      </c>
      <c r="P12">
        <v>1.65</v>
      </c>
      <c r="Q12">
        <v>3.75</v>
      </c>
      <c r="R12">
        <v>5.25</v>
      </c>
      <c r="S12">
        <v>1.66</v>
      </c>
      <c r="T12">
        <v>3.75</v>
      </c>
      <c r="U12">
        <v>5</v>
      </c>
      <c r="V12">
        <v>1.69</v>
      </c>
      <c r="W12">
        <v>3.88</v>
      </c>
      <c r="X12">
        <v>5.81</v>
      </c>
      <c r="Y12">
        <v>1.75</v>
      </c>
      <c r="Z12">
        <v>3.4</v>
      </c>
      <c r="AA12">
        <v>5</v>
      </c>
    </row>
    <row r="13" spans="1:27">
      <c r="A13" s="3" t="str">
        <v>Milan</v>
      </c>
      <c r="B13">
        <v>9</v>
      </c>
      <c r="C13">
        <v>0</v>
      </c>
      <c r="D13" t="s">
        <v>66</v>
      </c>
      <c r="E13" t="s">
        <v>91</v>
      </c>
      <c r="F13">
        <v>2</v>
      </c>
      <c r="G13">
        <v>3</v>
      </c>
      <c r="H13">
        <v>16</v>
      </c>
      <c r="I13">
        <v>5</v>
      </c>
      <c r="J13">
        <v>6</v>
      </c>
      <c r="K13">
        <v>10</v>
      </c>
      <c r="L13">
        <v>3</v>
      </c>
      <c r="M13">
        <v>2.2000000000000002</v>
      </c>
      <c r="N13">
        <v>3.3</v>
      </c>
      <c r="O13">
        <v>3.3</v>
      </c>
      <c r="P13">
        <v>2.2000000000000002</v>
      </c>
      <c r="Q13">
        <v>3.3</v>
      </c>
      <c r="R13">
        <v>3.25</v>
      </c>
      <c r="S13">
        <v>2.25</v>
      </c>
      <c r="T13">
        <v>3.4</v>
      </c>
      <c r="U13">
        <v>3.1</v>
      </c>
      <c r="V13">
        <v>2.27</v>
      </c>
      <c r="W13">
        <v>3.5</v>
      </c>
      <c r="X13">
        <v>3.42</v>
      </c>
      <c r="Y13">
        <v>2.2999999999999998</v>
      </c>
      <c r="Z13">
        <v>3.2</v>
      </c>
      <c r="AA13">
        <v>3.2</v>
      </c>
    </row>
    <row r="14" spans="1:27">
      <c r="A14" s="3" t="str">
        <v>Milan</v>
      </c>
      <c r="B14">
        <v>10</v>
      </c>
      <c r="C14">
        <v>1</v>
      </c>
      <c r="D14" t="s">
        <v>70</v>
      </c>
      <c r="E14" t="s">
        <v>67</v>
      </c>
      <c r="F14">
        <v>1</v>
      </c>
      <c r="G14">
        <v>1</v>
      </c>
      <c r="H14">
        <v>18</v>
      </c>
      <c r="I14">
        <v>5</v>
      </c>
      <c r="J14">
        <v>4</v>
      </c>
      <c r="K14">
        <v>12</v>
      </c>
      <c r="L14">
        <v>4</v>
      </c>
      <c r="M14">
        <v>1.73</v>
      </c>
      <c r="N14">
        <v>3.5</v>
      </c>
      <c r="O14">
        <v>5</v>
      </c>
      <c r="P14">
        <v>1.72</v>
      </c>
      <c r="Q14">
        <v>3.6</v>
      </c>
      <c r="R14">
        <v>4.75</v>
      </c>
      <c r="S14">
        <v>1.73</v>
      </c>
      <c r="T14">
        <v>3.6</v>
      </c>
      <c r="U14">
        <v>4.8</v>
      </c>
      <c r="V14">
        <v>1.76</v>
      </c>
      <c r="W14">
        <v>3.69</v>
      </c>
      <c r="X14">
        <v>5.47</v>
      </c>
      <c r="Y14">
        <v>1.8</v>
      </c>
      <c r="Z14">
        <v>3.6</v>
      </c>
      <c r="AA14">
        <v>4.4000000000000004</v>
      </c>
    </row>
    <row r="15" spans="1:27">
      <c r="A15" s="3" t="str">
        <v>Milan</v>
      </c>
      <c r="B15">
        <v>11</v>
      </c>
      <c r="C15">
        <v>0</v>
      </c>
      <c r="D15" t="s">
        <v>70</v>
      </c>
      <c r="E15" t="s">
        <v>91</v>
      </c>
      <c r="F15">
        <v>0</v>
      </c>
      <c r="G15">
        <v>2</v>
      </c>
      <c r="H15">
        <v>18</v>
      </c>
      <c r="I15">
        <v>1</v>
      </c>
      <c r="J15">
        <v>10</v>
      </c>
      <c r="K15">
        <v>19</v>
      </c>
      <c r="L15">
        <v>1</v>
      </c>
      <c r="M15">
        <v>2.0499999999999998</v>
      </c>
      <c r="N15">
        <v>3.5</v>
      </c>
      <c r="O15">
        <v>3.5</v>
      </c>
      <c r="P15">
        <v>2.0499999999999998</v>
      </c>
      <c r="Q15">
        <v>3.4</v>
      </c>
      <c r="R15">
        <v>3.5</v>
      </c>
      <c r="S15">
        <v>2.1</v>
      </c>
      <c r="T15">
        <v>3.5</v>
      </c>
      <c r="U15">
        <v>3.3</v>
      </c>
      <c r="V15">
        <v>2.0699999999999998</v>
      </c>
      <c r="W15">
        <v>3.61</v>
      </c>
      <c r="X15">
        <v>3.84</v>
      </c>
      <c r="Y15">
        <v>2.1</v>
      </c>
      <c r="Z15">
        <v>3.1</v>
      </c>
      <c r="AA15">
        <v>3.8</v>
      </c>
    </row>
    <row r="16" spans="1:27">
      <c r="A16" s="3" t="str">
        <v>Milan</v>
      </c>
      <c r="B16">
        <v>12</v>
      </c>
      <c r="C16">
        <v>1</v>
      </c>
      <c r="D16" t="s">
        <v>66</v>
      </c>
      <c r="E16" t="s">
        <v>67</v>
      </c>
      <c r="F16">
        <v>0</v>
      </c>
      <c r="G16">
        <v>0</v>
      </c>
      <c r="H16">
        <v>23</v>
      </c>
      <c r="I16">
        <v>3</v>
      </c>
      <c r="J16">
        <v>8</v>
      </c>
      <c r="K16">
        <v>9</v>
      </c>
      <c r="L16">
        <v>0</v>
      </c>
      <c r="M16">
        <v>2</v>
      </c>
      <c r="N16">
        <v>3.3</v>
      </c>
      <c r="O16">
        <v>3.8</v>
      </c>
      <c r="P16">
        <v>2</v>
      </c>
      <c r="Q16">
        <v>3.3</v>
      </c>
      <c r="R16">
        <v>3.8</v>
      </c>
      <c r="S16">
        <v>2</v>
      </c>
      <c r="T16">
        <v>3.4</v>
      </c>
      <c r="U16">
        <v>3.75</v>
      </c>
      <c r="V16">
        <v>1.99</v>
      </c>
      <c r="W16">
        <v>3.49</v>
      </c>
      <c r="X16">
        <v>4.33</v>
      </c>
      <c r="Y16">
        <v>2</v>
      </c>
      <c r="Z16">
        <v>3.3</v>
      </c>
      <c r="AA16">
        <v>3.8</v>
      </c>
    </row>
    <row r="17" spans="1:27">
      <c r="A17" s="3" t="str">
        <v>Milan</v>
      </c>
      <c r="B17">
        <v>13</v>
      </c>
      <c r="C17">
        <v>1</v>
      </c>
      <c r="D17" t="s">
        <v>70</v>
      </c>
      <c r="E17" t="s">
        <v>67</v>
      </c>
      <c r="F17">
        <v>1</v>
      </c>
      <c r="G17">
        <v>1</v>
      </c>
      <c r="H17">
        <v>39</v>
      </c>
      <c r="I17">
        <v>10</v>
      </c>
      <c r="J17">
        <v>12</v>
      </c>
      <c r="K17">
        <v>10</v>
      </c>
      <c r="L17">
        <v>3</v>
      </c>
      <c r="M17">
        <v>1.44</v>
      </c>
      <c r="N17">
        <v>4.2</v>
      </c>
      <c r="O17">
        <v>7.5</v>
      </c>
      <c r="P17">
        <v>1.45</v>
      </c>
      <c r="Q17">
        <v>4.2</v>
      </c>
      <c r="R17">
        <v>7.25</v>
      </c>
      <c r="S17">
        <v>1.5</v>
      </c>
      <c r="T17">
        <v>4</v>
      </c>
      <c r="U17">
        <v>6.5</v>
      </c>
      <c r="V17">
        <v>1.48</v>
      </c>
      <c r="W17">
        <v>4.45</v>
      </c>
      <c r="X17">
        <v>8.4</v>
      </c>
      <c r="Y17">
        <v>1.44</v>
      </c>
      <c r="Z17">
        <v>4</v>
      </c>
      <c r="AA17">
        <v>8</v>
      </c>
    </row>
    <row r="18" spans="1:27">
      <c r="A18" s="3" t="str">
        <v>Milan</v>
      </c>
      <c r="B18">
        <v>14</v>
      </c>
      <c r="C18">
        <v>3</v>
      </c>
      <c r="D18" t="s">
        <v>66</v>
      </c>
      <c r="E18" t="s">
        <v>90</v>
      </c>
      <c r="F18">
        <v>3</v>
      </c>
      <c r="G18">
        <v>1</v>
      </c>
      <c r="H18">
        <v>13</v>
      </c>
      <c r="I18">
        <v>7</v>
      </c>
      <c r="J18">
        <v>5</v>
      </c>
      <c r="K18">
        <v>15</v>
      </c>
      <c r="L18">
        <v>3</v>
      </c>
      <c r="M18">
        <v>1.75</v>
      </c>
      <c r="N18">
        <v>3.6</v>
      </c>
      <c r="O18">
        <v>4.75</v>
      </c>
      <c r="P18">
        <v>1.75</v>
      </c>
      <c r="Q18">
        <v>3.5</v>
      </c>
      <c r="R18">
        <v>4.75</v>
      </c>
      <c r="S18">
        <v>1.83</v>
      </c>
      <c r="T18">
        <v>3.4</v>
      </c>
      <c r="U18">
        <v>4.5</v>
      </c>
      <c r="V18">
        <v>1.79</v>
      </c>
      <c r="W18">
        <v>3.67</v>
      </c>
      <c r="X18">
        <v>5.24</v>
      </c>
      <c r="Y18">
        <v>1.83</v>
      </c>
      <c r="Z18">
        <v>3.2</v>
      </c>
      <c r="AA18">
        <v>5</v>
      </c>
    </row>
    <row r="19" spans="1:27">
      <c r="A19" s="3" t="str">
        <v>Milan</v>
      </c>
      <c r="B19">
        <v>15</v>
      </c>
      <c r="C19">
        <v>1</v>
      </c>
      <c r="D19" t="s">
        <v>66</v>
      </c>
      <c r="E19" t="s">
        <v>67</v>
      </c>
      <c r="F19">
        <v>2</v>
      </c>
      <c r="G19">
        <v>2</v>
      </c>
      <c r="H19">
        <v>11</v>
      </c>
      <c r="I19">
        <v>5</v>
      </c>
      <c r="J19">
        <v>2</v>
      </c>
      <c r="K19">
        <v>11</v>
      </c>
      <c r="L19">
        <v>2</v>
      </c>
      <c r="M19">
        <v>1.62</v>
      </c>
      <c r="N19">
        <v>3.75</v>
      </c>
      <c r="O19">
        <v>5.5</v>
      </c>
      <c r="P19">
        <v>1.62</v>
      </c>
      <c r="Q19">
        <v>3.8</v>
      </c>
      <c r="R19">
        <v>5.5</v>
      </c>
      <c r="S19">
        <v>1.66</v>
      </c>
      <c r="T19">
        <v>3.75</v>
      </c>
      <c r="U19">
        <v>5</v>
      </c>
      <c r="V19">
        <v>1.69</v>
      </c>
      <c r="W19">
        <v>3.8</v>
      </c>
      <c r="X19">
        <v>6</v>
      </c>
      <c r="Y19">
        <v>1.67</v>
      </c>
      <c r="Z19">
        <v>3.4</v>
      </c>
      <c r="AA19">
        <v>6</v>
      </c>
    </row>
    <row r="20" spans="1:27">
      <c r="A20" s="3" t="str">
        <v>Milan</v>
      </c>
      <c r="B20">
        <v>16</v>
      </c>
      <c r="C20">
        <v>1</v>
      </c>
      <c r="D20" t="s">
        <v>70</v>
      </c>
      <c r="E20" t="s">
        <v>67</v>
      </c>
      <c r="F20">
        <v>2</v>
      </c>
      <c r="G20">
        <v>2</v>
      </c>
      <c r="H20">
        <v>11</v>
      </c>
      <c r="I20">
        <v>4</v>
      </c>
      <c r="J20">
        <v>4</v>
      </c>
      <c r="K20">
        <v>13</v>
      </c>
      <c r="L20">
        <v>4</v>
      </c>
      <c r="M20">
        <v>2.2999999999999998</v>
      </c>
      <c r="N20">
        <v>3.3</v>
      </c>
      <c r="O20">
        <v>3.1</v>
      </c>
      <c r="P20">
        <v>2.35</v>
      </c>
      <c r="Q20">
        <v>3.3</v>
      </c>
      <c r="R20">
        <v>3</v>
      </c>
      <c r="S20">
        <v>2.2999999999999998</v>
      </c>
      <c r="T20">
        <v>3.3</v>
      </c>
      <c r="U20">
        <v>3</v>
      </c>
      <c r="V20">
        <v>2.31</v>
      </c>
      <c r="W20">
        <v>3.47</v>
      </c>
      <c r="X20">
        <v>3.35</v>
      </c>
      <c r="Y20">
        <v>2.38</v>
      </c>
      <c r="Z20">
        <v>3.2</v>
      </c>
      <c r="AA20">
        <v>3</v>
      </c>
    </row>
    <row r="21" spans="1:27">
      <c r="A21" s="3" t="str">
        <v>Milan</v>
      </c>
      <c r="B21">
        <v>17</v>
      </c>
      <c r="C21">
        <v>0</v>
      </c>
      <c r="D21" t="s">
        <v>66</v>
      </c>
      <c r="E21" t="s">
        <v>91</v>
      </c>
      <c r="F21">
        <v>0</v>
      </c>
      <c r="G21">
        <v>1</v>
      </c>
      <c r="H21">
        <v>18</v>
      </c>
      <c r="I21">
        <v>5</v>
      </c>
      <c r="J21">
        <v>7</v>
      </c>
      <c r="K21">
        <v>15</v>
      </c>
      <c r="L21">
        <v>4</v>
      </c>
      <c r="M21">
        <v>2.63</v>
      </c>
      <c r="N21">
        <v>3.3</v>
      </c>
      <c r="O21">
        <v>2.63</v>
      </c>
      <c r="P21">
        <v>2.75</v>
      </c>
      <c r="Q21">
        <v>3.3</v>
      </c>
      <c r="R21">
        <v>2.5</v>
      </c>
      <c r="S21">
        <v>2.75</v>
      </c>
      <c r="T21">
        <v>3.3</v>
      </c>
      <c r="U21">
        <v>2.5</v>
      </c>
      <c r="V21">
        <v>2.69</v>
      </c>
      <c r="W21">
        <v>3.38</v>
      </c>
      <c r="X21">
        <v>2.83</v>
      </c>
      <c r="Y21">
        <v>2.7</v>
      </c>
      <c r="Z21">
        <v>3.1</v>
      </c>
      <c r="AA21">
        <v>2.7</v>
      </c>
    </row>
    <row r="22" spans="1:27">
      <c r="A22" s="3" t="str">
        <v>Milan</v>
      </c>
      <c r="B22">
        <v>18</v>
      </c>
      <c r="C22">
        <v>3</v>
      </c>
      <c r="D22" t="s">
        <v>70</v>
      </c>
      <c r="E22" t="s">
        <v>90</v>
      </c>
      <c r="F22">
        <v>3</v>
      </c>
      <c r="G22">
        <v>0</v>
      </c>
      <c r="H22">
        <v>15</v>
      </c>
      <c r="I22">
        <v>8</v>
      </c>
      <c r="J22">
        <v>3</v>
      </c>
      <c r="K22">
        <v>20</v>
      </c>
      <c r="L22">
        <v>1</v>
      </c>
      <c r="M22">
        <v>1.44</v>
      </c>
      <c r="N22">
        <v>4.2</v>
      </c>
      <c r="O22">
        <v>7.5</v>
      </c>
      <c r="P22">
        <v>1.45</v>
      </c>
      <c r="Q22">
        <v>4.25</v>
      </c>
      <c r="R22">
        <v>7</v>
      </c>
      <c r="S22">
        <v>1.5</v>
      </c>
      <c r="T22">
        <v>4</v>
      </c>
      <c r="U22">
        <v>7</v>
      </c>
      <c r="V22">
        <v>1.47</v>
      </c>
      <c r="W22">
        <v>4.5199999999999996</v>
      </c>
      <c r="X22">
        <v>8.6</v>
      </c>
      <c r="Y22">
        <v>1.44</v>
      </c>
      <c r="Z22">
        <v>4</v>
      </c>
      <c r="AA22">
        <v>8</v>
      </c>
    </row>
    <row r="23" spans="1:27">
      <c r="A23" s="3" t="str">
        <v>Milan</v>
      </c>
      <c r="B23">
        <v>19</v>
      </c>
      <c r="C23">
        <v>0</v>
      </c>
      <c r="D23" t="s">
        <v>66</v>
      </c>
      <c r="E23" t="s">
        <v>91</v>
      </c>
      <c r="F23">
        <v>3</v>
      </c>
      <c r="G23">
        <v>4</v>
      </c>
      <c r="H23">
        <v>16</v>
      </c>
      <c r="I23">
        <v>7</v>
      </c>
      <c r="J23">
        <v>3</v>
      </c>
      <c r="K23">
        <v>18</v>
      </c>
      <c r="L23">
        <v>3</v>
      </c>
      <c r="M23">
        <v>1.7</v>
      </c>
      <c r="N23">
        <v>3.6</v>
      </c>
      <c r="O23">
        <v>5</v>
      </c>
      <c r="P23">
        <v>1.7</v>
      </c>
      <c r="Q23">
        <v>3.6</v>
      </c>
      <c r="R23">
        <v>5</v>
      </c>
      <c r="S23">
        <v>1.75</v>
      </c>
      <c r="T23">
        <v>3.6</v>
      </c>
      <c r="U23">
        <v>4.8</v>
      </c>
      <c r="V23">
        <v>1.74</v>
      </c>
      <c r="W23">
        <v>3.82</v>
      </c>
      <c r="X23">
        <v>5.49</v>
      </c>
      <c r="Y23">
        <v>1.75</v>
      </c>
      <c r="Z23">
        <v>3.2</v>
      </c>
      <c r="AA23">
        <v>5.5</v>
      </c>
    </row>
    <row r="24" spans="1:27">
      <c r="A24" s="3" t="str">
        <v>Milan</v>
      </c>
      <c r="B24">
        <v>20</v>
      </c>
      <c r="C24">
        <v>3</v>
      </c>
      <c r="D24" t="s">
        <v>70</v>
      </c>
      <c r="E24" t="s">
        <v>90</v>
      </c>
      <c r="F24">
        <v>1</v>
      </c>
      <c r="G24">
        <v>0</v>
      </c>
      <c r="H24">
        <v>25</v>
      </c>
      <c r="I24">
        <v>7</v>
      </c>
      <c r="J24">
        <v>5</v>
      </c>
      <c r="K24">
        <v>11</v>
      </c>
      <c r="L24">
        <v>2</v>
      </c>
      <c r="M24">
        <v>1.44</v>
      </c>
      <c r="N24">
        <v>4.33</v>
      </c>
      <c r="O24">
        <v>7</v>
      </c>
      <c r="P24">
        <v>1.45</v>
      </c>
      <c r="Q24">
        <v>4.33</v>
      </c>
      <c r="R24">
        <v>6.75</v>
      </c>
      <c r="S24">
        <v>1.44</v>
      </c>
      <c r="T24">
        <v>4.33</v>
      </c>
      <c r="U24">
        <v>7</v>
      </c>
      <c r="V24">
        <v>1.47</v>
      </c>
      <c r="W24">
        <v>4.74</v>
      </c>
      <c r="X24">
        <v>7.78</v>
      </c>
      <c r="Y24">
        <v>1.5</v>
      </c>
      <c r="Z24">
        <v>4</v>
      </c>
      <c r="AA24">
        <v>7</v>
      </c>
    </row>
    <row r="25" spans="1:27">
      <c r="A25" s="3" t="str">
        <v>Milan</v>
      </c>
      <c r="B25">
        <v>21</v>
      </c>
      <c r="C25">
        <v>3</v>
      </c>
      <c r="D25" t="s">
        <v>66</v>
      </c>
      <c r="E25" t="s">
        <v>90</v>
      </c>
      <c r="F25">
        <v>2</v>
      </c>
      <c r="G25">
        <v>1</v>
      </c>
      <c r="H25">
        <v>21</v>
      </c>
      <c r="I25">
        <v>8</v>
      </c>
      <c r="J25">
        <v>9</v>
      </c>
      <c r="K25">
        <v>19</v>
      </c>
      <c r="L25">
        <v>1</v>
      </c>
      <c r="M25">
        <v>2</v>
      </c>
      <c r="N25">
        <v>3.3</v>
      </c>
      <c r="O25">
        <v>3.8</v>
      </c>
      <c r="P25">
        <v>1.91</v>
      </c>
      <c r="Q25">
        <v>3.4</v>
      </c>
      <c r="R25">
        <v>4.0999999999999996</v>
      </c>
      <c r="S25">
        <v>1.85</v>
      </c>
      <c r="T25">
        <v>3.5</v>
      </c>
      <c r="U25">
        <v>4.2</v>
      </c>
      <c r="V25">
        <v>2.0099999999999998</v>
      </c>
      <c r="W25">
        <v>3.42</v>
      </c>
      <c r="X25">
        <v>4.3499999999999996</v>
      </c>
      <c r="Y25">
        <v>1.95</v>
      </c>
      <c r="Z25">
        <v>3.3</v>
      </c>
      <c r="AA25">
        <v>4</v>
      </c>
    </row>
    <row r="26" spans="1:27">
      <c r="A26" s="3" t="str">
        <v>Milan</v>
      </c>
      <c r="B26">
        <v>22</v>
      </c>
      <c r="C26">
        <v>1</v>
      </c>
      <c r="D26" t="s">
        <v>70</v>
      </c>
      <c r="E26" t="s">
        <v>67</v>
      </c>
      <c r="F26">
        <v>1</v>
      </c>
      <c r="G26">
        <v>1</v>
      </c>
      <c r="H26">
        <v>23</v>
      </c>
      <c r="I26">
        <v>6</v>
      </c>
      <c r="J26">
        <v>13</v>
      </c>
      <c r="K26">
        <v>14</v>
      </c>
      <c r="L26">
        <v>2</v>
      </c>
      <c r="M26">
        <v>1.6</v>
      </c>
      <c r="N26">
        <v>3.8</v>
      </c>
      <c r="O26">
        <v>5.75</v>
      </c>
      <c r="P26">
        <v>1.57</v>
      </c>
      <c r="Q26">
        <v>3.8</v>
      </c>
      <c r="R26">
        <v>6</v>
      </c>
      <c r="S26">
        <v>1.65</v>
      </c>
      <c r="T26">
        <v>3.75</v>
      </c>
      <c r="U26">
        <v>5.5</v>
      </c>
      <c r="V26">
        <v>1.68</v>
      </c>
      <c r="W26">
        <v>3.75</v>
      </c>
      <c r="X26">
        <v>6.4</v>
      </c>
      <c r="Y26">
        <v>1.67</v>
      </c>
      <c r="Z26">
        <v>3.3</v>
      </c>
      <c r="AA26">
        <v>6</v>
      </c>
    </row>
    <row r="27" spans="1:27">
      <c r="A27" s="3" t="str">
        <v>Milan</v>
      </c>
      <c r="B27">
        <v>23</v>
      </c>
      <c r="C27">
        <v>0</v>
      </c>
      <c r="D27" t="s">
        <v>66</v>
      </c>
      <c r="E27" t="s">
        <v>91</v>
      </c>
      <c r="F27">
        <v>1</v>
      </c>
      <c r="G27">
        <v>3</v>
      </c>
      <c r="H27">
        <v>8</v>
      </c>
      <c r="I27">
        <v>6</v>
      </c>
      <c r="J27">
        <v>0</v>
      </c>
      <c r="K27">
        <v>17</v>
      </c>
      <c r="L27">
        <v>2</v>
      </c>
      <c r="M27">
        <v>3.75</v>
      </c>
      <c r="N27">
        <v>3.4</v>
      </c>
      <c r="O27">
        <v>2</v>
      </c>
      <c r="P27">
        <v>3.9</v>
      </c>
      <c r="Q27">
        <v>3.5</v>
      </c>
      <c r="R27">
        <v>1.91</v>
      </c>
      <c r="S27">
        <v>3.8</v>
      </c>
      <c r="T27">
        <v>3.4</v>
      </c>
      <c r="U27">
        <v>1.95</v>
      </c>
      <c r="V27">
        <v>3.86</v>
      </c>
      <c r="W27">
        <v>3.55</v>
      </c>
      <c r="X27">
        <v>2.08</v>
      </c>
      <c r="Y27">
        <v>4</v>
      </c>
      <c r="Z27">
        <v>3.1</v>
      </c>
      <c r="AA27">
        <v>2.0499999999999998</v>
      </c>
    </row>
    <row r="28" spans="1:27">
      <c r="A28" s="3" t="str">
        <v>Milan</v>
      </c>
      <c r="B28">
        <v>24</v>
      </c>
      <c r="C28">
        <v>3</v>
      </c>
      <c r="D28" t="s">
        <v>70</v>
      </c>
      <c r="E28" t="s">
        <v>90</v>
      </c>
      <c r="F28">
        <v>1</v>
      </c>
      <c r="G28">
        <v>0</v>
      </c>
      <c r="H28">
        <v>13</v>
      </c>
      <c r="I28">
        <v>4</v>
      </c>
      <c r="J28">
        <v>8</v>
      </c>
      <c r="K28">
        <v>17</v>
      </c>
      <c r="L28">
        <v>1</v>
      </c>
      <c r="M28">
        <v>1.33</v>
      </c>
      <c r="N28">
        <v>5</v>
      </c>
      <c r="O28">
        <v>9</v>
      </c>
      <c r="P28">
        <v>1.33</v>
      </c>
      <c r="Q28">
        <v>5</v>
      </c>
      <c r="R28">
        <v>9</v>
      </c>
      <c r="S28">
        <v>1.4</v>
      </c>
      <c r="T28">
        <v>4.5</v>
      </c>
      <c r="U28">
        <v>8</v>
      </c>
      <c r="V28">
        <v>1.37</v>
      </c>
      <c r="W28">
        <v>5.14</v>
      </c>
      <c r="X28">
        <v>10.23</v>
      </c>
      <c r="Y28">
        <v>1.36</v>
      </c>
      <c r="Z28">
        <v>4.5</v>
      </c>
      <c r="AA28">
        <v>9</v>
      </c>
    </row>
    <row r="29" spans="1:27">
      <c r="A29" s="3" t="str">
        <v>Milan</v>
      </c>
      <c r="B29">
        <v>25</v>
      </c>
      <c r="C29">
        <v>3</v>
      </c>
      <c r="D29" t="s">
        <v>66</v>
      </c>
      <c r="E29" t="s">
        <v>90</v>
      </c>
      <c r="F29">
        <v>2</v>
      </c>
      <c r="G29">
        <v>0</v>
      </c>
      <c r="H29">
        <v>14</v>
      </c>
      <c r="I29">
        <v>8</v>
      </c>
      <c r="J29">
        <v>4</v>
      </c>
      <c r="K29">
        <v>12</v>
      </c>
      <c r="L29">
        <v>3</v>
      </c>
      <c r="M29">
        <v>2.2999999999999998</v>
      </c>
      <c r="N29">
        <v>3.2</v>
      </c>
      <c r="O29">
        <v>3.2</v>
      </c>
      <c r="P29">
        <v>2.25</v>
      </c>
      <c r="Q29">
        <v>3.25</v>
      </c>
      <c r="R29">
        <v>3.2</v>
      </c>
      <c r="S29">
        <v>2.37</v>
      </c>
      <c r="T29">
        <v>3.25</v>
      </c>
      <c r="U29">
        <v>3</v>
      </c>
      <c r="V29">
        <v>2.4</v>
      </c>
      <c r="W29">
        <v>3.25</v>
      </c>
      <c r="X29">
        <v>3.38</v>
      </c>
      <c r="Y29">
        <v>2.4</v>
      </c>
      <c r="Z29">
        <v>3.1</v>
      </c>
      <c r="AA29">
        <v>3.1</v>
      </c>
    </row>
    <row r="30" spans="1:27">
      <c r="A30" s="3" t="str">
        <v>Milan</v>
      </c>
      <c r="B30">
        <v>26</v>
      </c>
      <c r="C30">
        <v>0</v>
      </c>
      <c r="D30" t="s">
        <v>70</v>
      </c>
      <c r="E30" t="s">
        <v>91</v>
      </c>
      <c r="F30">
        <v>0</v>
      </c>
      <c r="G30">
        <v>2</v>
      </c>
      <c r="H30">
        <v>22</v>
      </c>
      <c r="I30">
        <v>9</v>
      </c>
      <c r="J30">
        <v>7</v>
      </c>
      <c r="K30">
        <v>15</v>
      </c>
      <c r="L30">
        <v>1</v>
      </c>
      <c r="M30">
        <v>3.6</v>
      </c>
      <c r="N30">
        <v>3.5</v>
      </c>
      <c r="O30">
        <v>2</v>
      </c>
      <c r="P30">
        <v>3.6</v>
      </c>
      <c r="Q30">
        <v>3.5</v>
      </c>
      <c r="R30">
        <v>2.1</v>
      </c>
      <c r="S30">
        <v>3.4</v>
      </c>
      <c r="T30">
        <v>3.4</v>
      </c>
      <c r="U30">
        <v>2.1</v>
      </c>
      <c r="V30">
        <v>4.08</v>
      </c>
      <c r="W30">
        <v>3.53</v>
      </c>
      <c r="X30">
        <v>2.0299999999999998</v>
      </c>
      <c r="Y30">
        <v>4</v>
      </c>
      <c r="Z30">
        <v>3</v>
      </c>
      <c r="AA30">
        <v>2.1</v>
      </c>
    </row>
    <row r="31" spans="1:27">
      <c r="A31" s="3" t="str">
        <v>Milan</v>
      </c>
      <c r="B31">
        <v>27</v>
      </c>
      <c r="C31">
        <v>0</v>
      </c>
      <c r="D31" t="s">
        <v>66</v>
      </c>
      <c r="E31" t="s">
        <v>91</v>
      </c>
      <c r="F31">
        <v>0</v>
      </c>
      <c r="G31">
        <v>1</v>
      </c>
      <c r="H31">
        <v>15</v>
      </c>
      <c r="I31">
        <v>5</v>
      </c>
      <c r="J31">
        <v>8</v>
      </c>
      <c r="K31">
        <v>13</v>
      </c>
      <c r="L31">
        <v>3</v>
      </c>
      <c r="M31">
        <v>2.38</v>
      </c>
      <c r="N31">
        <v>3.25</v>
      </c>
      <c r="O31">
        <v>3</v>
      </c>
      <c r="P31">
        <v>2.35</v>
      </c>
      <c r="Q31">
        <v>3.3</v>
      </c>
      <c r="R31">
        <v>2.95</v>
      </c>
      <c r="S31">
        <v>2.2999999999999998</v>
      </c>
      <c r="T31">
        <v>3.3</v>
      </c>
      <c r="U31">
        <v>3.1</v>
      </c>
      <c r="V31">
        <v>2.54</v>
      </c>
      <c r="W31">
        <v>3.28</v>
      </c>
      <c r="X31">
        <v>3.1</v>
      </c>
      <c r="Y31">
        <v>2.5</v>
      </c>
      <c r="Z31">
        <v>3.1</v>
      </c>
      <c r="AA31">
        <v>2.9</v>
      </c>
    </row>
    <row r="32" spans="1:27">
      <c r="A32" s="3" t="str">
        <v>Milan</v>
      </c>
      <c r="B32">
        <v>28</v>
      </c>
      <c r="C32">
        <v>0</v>
      </c>
      <c r="D32" t="s">
        <v>70</v>
      </c>
      <c r="E32" t="s">
        <v>91</v>
      </c>
      <c r="F32">
        <v>2</v>
      </c>
      <c r="G32">
        <v>4</v>
      </c>
      <c r="H32">
        <v>13</v>
      </c>
      <c r="I32">
        <v>3</v>
      </c>
      <c r="J32">
        <v>4</v>
      </c>
      <c r="K32">
        <v>14</v>
      </c>
      <c r="L32">
        <v>3</v>
      </c>
      <c r="M32">
        <v>1.8</v>
      </c>
      <c r="N32">
        <v>3.6</v>
      </c>
      <c r="O32">
        <v>4.33</v>
      </c>
      <c r="P32">
        <v>1.83</v>
      </c>
      <c r="Q32">
        <v>3.6</v>
      </c>
      <c r="R32">
        <v>4.2</v>
      </c>
      <c r="S32">
        <v>1.8</v>
      </c>
      <c r="T32">
        <v>3.6</v>
      </c>
      <c r="U32">
        <v>4.5</v>
      </c>
      <c r="V32">
        <v>1.85</v>
      </c>
      <c r="W32">
        <v>3.62</v>
      </c>
      <c r="X32">
        <v>4.93</v>
      </c>
      <c r="Y32">
        <v>1.85</v>
      </c>
      <c r="Z32">
        <v>3.3</v>
      </c>
      <c r="AA32">
        <v>4.5</v>
      </c>
    </row>
    <row r="33" spans="1:27">
      <c r="A33" s="3" t="str">
        <v>Milan</v>
      </c>
      <c r="B33">
        <v>29</v>
      </c>
      <c r="C33">
        <v>1</v>
      </c>
      <c r="D33" t="s">
        <v>66</v>
      </c>
      <c r="E33" t="s">
        <v>67</v>
      </c>
      <c r="F33">
        <v>1</v>
      </c>
      <c r="G33">
        <v>1</v>
      </c>
      <c r="H33">
        <v>10</v>
      </c>
      <c r="I33">
        <v>0</v>
      </c>
      <c r="J33">
        <v>3</v>
      </c>
      <c r="K33">
        <v>13</v>
      </c>
      <c r="L33">
        <v>2</v>
      </c>
      <c r="M33">
        <v>2.88</v>
      </c>
      <c r="N33">
        <v>3.2</v>
      </c>
      <c r="O33">
        <v>2.5</v>
      </c>
      <c r="P33">
        <v>3</v>
      </c>
      <c r="Q33">
        <v>3.2</v>
      </c>
      <c r="R33">
        <v>2.4</v>
      </c>
      <c r="S33">
        <v>3</v>
      </c>
      <c r="T33">
        <v>3.3</v>
      </c>
      <c r="U33">
        <v>2.37</v>
      </c>
      <c r="V33">
        <v>3.09</v>
      </c>
      <c r="W33">
        <v>3.35</v>
      </c>
      <c r="X33">
        <v>2.5099999999999998</v>
      </c>
      <c r="Y33">
        <v>3</v>
      </c>
      <c r="Z33">
        <v>3</v>
      </c>
      <c r="AA33">
        <v>2.5</v>
      </c>
    </row>
    <row r="34" spans="1:27">
      <c r="A34" s="3" t="str">
        <v>Milan</v>
      </c>
      <c r="B34">
        <v>30</v>
      </c>
      <c r="C34">
        <v>3</v>
      </c>
      <c r="D34" t="s">
        <v>66</v>
      </c>
      <c r="E34" t="s">
        <v>90</v>
      </c>
      <c r="F34">
        <v>2</v>
      </c>
      <c r="G34">
        <v>0</v>
      </c>
      <c r="H34">
        <v>15</v>
      </c>
      <c r="I34">
        <v>6</v>
      </c>
      <c r="J34">
        <v>4</v>
      </c>
      <c r="K34">
        <v>30</v>
      </c>
      <c r="L34">
        <v>7</v>
      </c>
      <c r="M34">
        <v>3.25</v>
      </c>
      <c r="N34">
        <v>3.3</v>
      </c>
      <c r="O34">
        <v>2.2000000000000002</v>
      </c>
      <c r="P34">
        <v>3.2</v>
      </c>
      <c r="Q34">
        <v>3.4</v>
      </c>
      <c r="R34">
        <v>2.2000000000000002</v>
      </c>
      <c r="S34">
        <v>3.2</v>
      </c>
      <c r="T34">
        <v>3.4</v>
      </c>
      <c r="U34">
        <v>2.2000000000000002</v>
      </c>
      <c r="V34">
        <v>3.65</v>
      </c>
      <c r="W34">
        <v>3.33</v>
      </c>
      <c r="X34">
        <v>2.2400000000000002</v>
      </c>
      <c r="Y34">
        <v>3.2</v>
      </c>
      <c r="Z34">
        <v>3.3</v>
      </c>
      <c r="AA34">
        <v>2.25</v>
      </c>
    </row>
    <row r="35" spans="1:27">
      <c r="A35" s="3" t="str">
        <v>Milan</v>
      </c>
      <c r="B35">
        <v>31</v>
      </c>
      <c r="C35">
        <v>3</v>
      </c>
      <c r="D35" t="s">
        <v>70</v>
      </c>
      <c r="E35" t="s">
        <v>90</v>
      </c>
      <c r="F35">
        <v>3</v>
      </c>
      <c r="G35">
        <v>0</v>
      </c>
      <c r="H35">
        <v>17</v>
      </c>
      <c r="I35">
        <v>5</v>
      </c>
      <c r="J35">
        <v>11</v>
      </c>
      <c r="K35">
        <v>16</v>
      </c>
      <c r="L35">
        <v>0</v>
      </c>
      <c r="M35">
        <v>1.4</v>
      </c>
      <c r="N35">
        <v>4.5</v>
      </c>
      <c r="O35">
        <v>8</v>
      </c>
      <c r="P35">
        <v>1.4</v>
      </c>
      <c r="Q35">
        <v>4.5</v>
      </c>
      <c r="R35">
        <v>7.5</v>
      </c>
      <c r="S35">
        <v>1.44</v>
      </c>
      <c r="T35">
        <v>4.2</v>
      </c>
      <c r="U35">
        <v>7.5</v>
      </c>
      <c r="V35">
        <v>1.47</v>
      </c>
      <c r="W35">
        <v>4.5</v>
      </c>
      <c r="X35">
        <v>8.4499999999999993</v>
      </c>
      <c r="Y35">
        <v>1.44</v>
      </c>
      <c r="Z35">
        <v>4</v>
      </c>
      <c r="AA35">
        <v>8</v>
      </c>
    </row>
    <row r="36" spans="1:27">
      <c r="A36" s="3" t="str">
        <v>Milan</v>
      </c>
      <c r="B36">
        <v>32</v>
      </c>
      <c r="C36">
        <v>3</v>
      </c>
      <c r="D36" t="s">
        <v>66</v>
      </c>
      <c r="E36" t="s">
        <v>90</v>
      </c>
      <c r="F36">
        <v>2</v>
      </c>
      <c r="G36">
        <v>1</v>
      </c>
      <c r="H36">
        <v>5</v>
      </c>
      <c r="I36">
        <v>3</v>
      </c>
      <c r="J36">
        <v>1</v>
      </c>
      <c r="K36">
        <v>16</v>
      </c>
      <c r="L36">
        <v>1</v>
      </c>
      <c r="M36">
        <v>2</v>
      </c>
      <c r="N36">
        <v>3.3</v>
      </c>
      <c r="O36">
        <v>3.8</v>
      </c>
      <c r="P36">
        <v>2</v>
      </c>
      <c r="Q36">
        <v>3.3</v>
      </c>
      <c r="R36">
        <v>3.8</v>
      </c>
      <c r="S36">
        <v>2.1</v>
      </c>
      <c r="T36">
        <v>3.3</v>
      </c>
      <c r="U36">
        <v>3.5</v>
      </c>
      <c r="V36">
        <v>2.06</v>
      </c>
      <c r="W36">
        <v>3.37</v>
      </c>
      <c r="X36">
        <v>4.18</v>
      </c>
      <c r="Y36">
        <v>2.1</v>
      </c>
      <c r="Z36">
        <v>3.1</v>
      </c>
      <c r="AA36">
        <v>3.8</v>
      </c>
    </row>
    <row r="37" spans="1:27">
      <c r="A37" s="3" t="str">
        <v>Milan</v>
      </c>
      <c r="B37">
        <v>33</v>
      </c>
      <c r="C37">
        <v>3</v>
      </c>
      <c r="D37" t="s">
        <v>70</v>
      </c>
      <c r="E37" t="s">
        <v>90</v>
      </c>
      <c r="F37">
        <v>1</v>
      </c>
      <c r="G37">
        <v>0</v>
      </c>
      <c r="H37">
        <v>18</v>
      </c>
      <c r="I37">
        <v>3</v>
      </c>
      <c r="J37">
        <v>7</v>
      </c>
      <c r="K37">
        <v>18</v>
      </c>
      <c r="L37">
        <v>0</v>
      </c>
      <c r="M37">
        <v>1.33</v>
      </c>
      <c r="N37">
        <v>5.25</v>
      </c>
      <c r="O37">
        <v>8</v>
      </c>
      <c r="P37">
        <v>1.33</v>
      </c>
      <c r="Q37">
        <v>4.75</v>
      </c>
      <c r="R37">
        <v>9</v>
      </c>
      <c r="S37">
        <v>1.4</v>
      </c>
      <c r="T37">
        <v>4.5</v>
      </c>
      <c r="U37">
        <v>8</v>
      </c>
      <c r="V37">
        <v>1.37</v>
      </c>
      <c r="W37">
        <v>5.22</v>
      </c>
      <c r="X37">
        <v>10.28</v>
      </c>
      <c r="Y37">
        <v>1.4</v>
      </c>
      <c r="Z37">
        <v>4.2</v>
      </c>
      <c r="AA37">
        <v>9</v>
      </c>
    </row>
    <row r="38" spans="1:27">
      <c r="A38" s="3" t="str">
        <v>Milan</v>
      </c>
      <c r="B38">
        <v>34</v>
      </c>
      <c r="C38">
        <v>3</v>
      </c>
      <c r="D38" t="s">
        <v>70</v>
      </c>
      <c r="E38" t="s">
        <v>90</v>
      </c>
      <c r="F38">
        <v>3</v>
      </c>
      <c r="G38">
        <v>0</v>
      </c>
      <c r="H38">
        <v>20</v>
      </c>
      <c r="I38">
        <v>4</v>
      </c>
      <c r="J38">
        <v>8</v>
      </c>
      <c r="K38">
        <v>17</v>
      </c>
      <c r="L38">
        <v>3</v>
      </c>
      <c r="M38">
        <v>1.25</v>
      </c>
      <c r="N38">
        <v>5.5</v>
      </c>
      <c r="O38">
        <v>12</v>
      </c>
      <c r="P38">
        <v>1.3</v>
      </c>
      <c r="Q38">
        <v>5</v>
      </c>
      <c r="R38">
        <v>10</v>
      </c>
      <c r="S38">
        <v>1.33</v>
      </c>
      <c r="T38">
        <v>5</v>
      </c>
      <c r="U38">
        <v>9</v>
      </c>
      <c r="V38">
        <v>1.3</v>
      </c>
      <c r="W38">
        <v>5.82</v>
      </c>
      <c r="X38">
        <v>12.47</v>
      </c>
      <c r="Y38">
        <v>1.3</v>
      </c>
      <c r="Z38">
        <v>5</v>
      </c>
      <c r="AA38">
        <v>10</v>
      </c>
    </row>
    <row r="39" spans="1:27">
      <c r="A39" s="3" t="str">
        <v>Milan</v>
      </c>
      <c r="B39">
        <v>35</v>
      </c>
      <c r="C39">
        <v>0</v>
      </c>
      <c r="D39" t="s">
        <v>66</v>
      </c>
      <c r="E39" t="s">
        <v>91</v>
      </c>
      <c r="F39">
        <v>0</v>
      </c>
      <c r="G39">
        <v>2</v>
      </c>
      <c r="H39">
        <v>13</v>
      </c>
      <c r="I39">
        <v>5</v>
      </c>
      <c r="J39">
        <v>6</v>
      </c>
      <c r="K39">
        <v>18</v>
      </c>
      <c r="L39">
        <v>3</v>
      </c>
      <c r="M39">
        <v>4.2</v>
      </c>
      <c r="N39">
        <v>3.75</v>
      </c>
      <c r="O39">
        <v>1.8</v>
      </c>
      <c r="P39">
        <v>4.5</v>
      </c>
      <c r="Q39">
        <v>3.65</v>
      </c>
      <c r="R39">
        <v>1.75</v>
      </c>
      <c r="S39">
        <v>4.5</v>
      </c>
      <c r="T39">
        <v>3.6</v>
      </c>
      <c r="U39">
        <v>1.8</v>
      </c>
      <c r="V39">
        <v>4.76</v>
      </c>
      <c r="W39">
        <v>3.8</v>
      </c>
      <c r="X39">
        <v>1.83</v>
      </c>
      <c r="Y39">
        <v>4.5</v>
      </c>
      <c r="Z39">
        <v>3.5</v>
      </c>
      <c r="AA39">
        <v>1.8</v>
      </c>
    </row>
    <row r="40" spans="1:27">
      <c r="A40" s="3" t="str">
        <v>Milan</v>
      </c>
      <c r="B40">
        <v>36</v>
      </c>
      <c r="C40">
        <v>3</v>
      </c>
      <c r="D40" t="s">
        <v>70</v>
      </c>
      <c r="E40" t="s">
        <v>90</v>
      </c>
      <c r="F40">
        <v>1</v>
      </c>
      <c r="G40">
        <v>0</v>
      </c>
      <c r="H40">
        <v>14</v>
      </c>
      <c r="I40">
        <v>4</v>
      </c>
      <c r="J40">
        <v>5</v>
      </c>
      <c r="K40">
        <v>16</v>
      </c>
      <c r="L40">
        <v>3</v>
      </c>
      <c r="M40">
        <v>2.4</v>
      </c>
      <c r="N40">
        <v>3.4</v>
      </c>
      <c r="O40">
        <v>2.8</v>
      </c>
      <c r="P40">
        <v>2.4500000000000002</v>
      </c>
      <c r="Q40">
        <v>3.4</v>
      </c>
      <c r="R40">
        <v>2.75</v>
      </c>
      <c r="S40">
        <v>2.37</v>
      </c>
      <c r="T40">
        <v>3.4</v>
      </c>
      <c r="U40">
        <v>2.87</v>
      </c>
      <c r="V40">
        <v>2.48</v>
      </c>
      <c r="W40">
        <v>3.49</v>
      </c>
      <c r="X40">
        <v>3.02</v>
      </c>
      <c r="Y40">
        <v>2.62</v>
      </c>
      <c r="Z40">
        <v>3.1</v>
      </c>
      <c r="AA40">
        <v>2.8</v>
      </c>
    </row>
    <row r="41" spans="1:27">
      <c r="A41" s="3" t="str">
        <v>Milan</v>
      </c>
      <c r="B41">
        <v>37</v>
      </c>
      <c r="C41">
        <v>0</v>
      </c>
      <c r="D41" t="s">
        <v>66</v>
      </c>
      <c r="E41" t="s">
        <v>91</v>
      </c>
      <c r="F41">
        <v>1</v>
      </c>
      <c r="G41">
        <v>2</v>
      </c>
      <c r="H41">
        <v>20</v>
      </c>
      <c r="I41">
        <v>2</v>
      </c>
      <c r="J41">
        <v>5</v>
      </c>
      <c r="K41">
        <v>10</v>
      </c>
      <c r="L41">
        <v>2</v>
      </c>
      <c r="M41">
        <v>1.62</v>
      </c>
      <c r="N41">
        <v>3.8</v>
      </c>
      <c r="O41">
        <v>5.5</v>
      </c>
      <c r="P41">
        <v>1.55</v>
      </c>
      <c r="Q41">
        <v>4</v>
      </c>
      <c r="R41">
        <v>5.75</v>
      </c>
      <c r="S41">
        <v>1.66</v>
      </c>
      <c r="T41">
        <v>3.75</v>
      </c>
      <c r="U41">
        <v>5</v>
      </c>
      <c r="V41">
        <v>1.67</v>
      </c>
      <c r="W41">
        <v>4.05</v>
      </c>
      <c r="X41">
        <v>5.79</v>
      </c>
      <c r="Y41">
        <v>1.62</v>
      </c>
      <c r="Z41">
        <v>3.5</v>
      </c>
      <c r="AA41">
        <v>6.5</v>
      </c>
    </row>
    <row r="42" spans="1:27">
      <c r="A42" s="3" t="str">
        <v>Milan</v>
      </c>
      <c r="B42">
        <v>38</v>
      </c>
      <c r="C42">
        <v>3</v>
      </c>
      <c r="D42" t="s">
        <v>70</v>
      </c>
      <c r="E42" t="s">
        <v>90</v>
      </c>
      <c r="F42">
        <v>2</v>
      </c>
      <c r="G42">
        <v>1</v>
      </c>
      <c r="H42">
        <v>16</v>
      </c>
      <c r="I42">
        <v>9</v>
      </c>
      <c r="J42">
        <v>7</v>
      </c>
      <c r="K42">
        <v>17</v>
      </c>
      <c r="L42">
        <v>0</v>
      </c>
      <c r="M42">
        <v>1.29</v>
      </c>
      <c r="N42">
        <v>5.75</v>
      </c>
      <c r="O42">
        <v>9</v>
      </c>
      <c r="P42">
        <v>1.25</v>
      </c>
      <c r="Q42">
        <v>6</v>
      </c>
      <c r="R42">
        <v>10</v>
      </c>
      <c r="S42">
        <v>1.25</v>
      </c>
      <c r="T42">
        <v>6</v>
      </c>
      <c r="U42">
        <v>10</v>
      </c>
      <c r="V42">
        <v>1.31</v>
      </c>
      <c r="W42">
        <v>6.1</v>
      </c>
      <c r="X42">
        <v>10.8</v>
      </c>
      <c r="Y42">
        <v>1.29</v>
      </c>
      <c r="Z42">
        <v>5.5</v>
      </c>
      <c r="AA42">
        <v>10</v>
      </c>
    </row>
    <row r="43" spans="1:27">
      <c r="A43" s="5" t="str">
        <f t="array" ref="A43:A80">IF(OR($E$1=0,$E$1=""),"",$E$1)</f>
        <v>Inter</v>
      </c>
      <c r="B43">
        <v>1</v>
      </c>
      <c r="C43">
        <v>3</v>
      </c>
      <c r="D43" t="s">
        <v>70</v>
      </c>
      <c r="E43" t="s">
        <v>90</v>
      </c>
      <c r="F43">
        <v>2</v>
      </c>
      <c r="G43">
        <v>0</v>
      </c>
      <c r="H43">
        <v>20</v>
      </c>
      <c r="I43">
        <v>5</v>
      </c>
      <c r="J43">
        <v>12</v>
      </c>
      <c r="K43">
        <v>15</v>
      </c>
      <c r="L43">
        <v>2</v>
      </c>
      <c r="M43">
        <v>1.62</v>
      </c>
      <c r="N43">
        <v>3.75</v>
      </c>
      <c r="O43">
        <v>5.5</v>
      </c>
      <c r="P43">
        <v>1.6</v>
      </c>
      <c r="Q43">
        <v>3.75</v>
      </c>
      <c r="R43">
        <v>5.75</v>
      </c>
      <c r="S43">
        <v>1.61</v>
      </c>
      <c r="T43">
        <v>3.75</v>
      </c>
      <c r="U43">
        <v>5.5</v>
      </c>
      <c r="V43">
        <v>1.65</v>
      </c>
      <c r="W43">
        <v>3.95</v>
      </c>
      <c r="X43">
        <v>6.17</v>
      </c>
      <c r="Y43">
        <v>1.7</v>
      </c>
      <c r="Z43">
        <v>3.75</v>
      </c>
      <c r="AA43">
        <v>4.8</v>
      </c>
    </row>
    <row r="44" spans="1:27">
      <c r="A44" s="3" t="str">
        <v>Inter</v>
      </c>
      <c r="B44">
        <v>2</v>
      </c>
      <c r="C44">
        <v>3</v>
      </c>
      <c r="D44" t="s">
        <v>66</v>
      </c>
      <c r="E44" t="s">
        <v>90</v>
      </c>
      <c r="F44">
        <v>3</v>
      </c>
      <c r="G44">
        <v>0</v>
      </c>
      <c r="H44">
        <v>17</v>
      </c>
      <c r="I44">
        <v>7</v>
      </c>
      <c r="J44">
        <v>3</v>
      </c>
      <c r="K44">
        <v>10</v>
      </c>
      <c r="L44">
        <v>1</v>
      </c>
      <c r="M44">
        <v>2.6</v>
      </c>
      <c r="N44">
        <v>3.2</v>
      </c>
      <c r="O44">
        <v>2.75</v>
      </c>
      <c r="P44">
        <v>2.4</v>
      </c>
      <c r="Q44">
        <v>3.25</v>
      </c>
      <c r="R44">
        <v>2.95</v>
      </c>
      <c r="S44">
        <v>2.4</v>
      </c>
      <c r="T44">
        <v>3.3</v>
      </c>
      <c r="U44">
        <v>2.87</v>
      </c>
      <c r="V44">
        <v>2.69</v>
      </c>
      <c r="W44">
        <v>3.27</v>
      </c>
      <c r="X44">
        <v>2.92</v>
      </c>
      <c r="Y44">
        <v>2.4500000000000002</v>
      </c>
      <c r="Z44">
        <v>3.25</v>
      </c>
      <c r="AA44">
        <v>2.9</v>
      </c>
    </row>
    <row r="45" spans="1:27">
      <c r="A45" s="3" t="str">
        <v>Inter</v>
      </c>
      <c r="B45">
        <v>3</v>
      </c>
      <c r="C45">
        <v>1</v>
      </c>
      <c r="D45" t="s">
        <v>70</v>
      </c>
      <c r="E45" t="s">
        <v>67</v>
      </c>
      <c r="F45">
        <v>1</v>
      </c>
      <c r="G45">
        <v>1</v>
      </c>
      <c r="H45">
        <v>8</v>
      </c>
      <c r="I45">
        <v>4</v>
      </c>
      <c r="J45">
        <v>6</v>
      </c>
      <c r="K45">
        <v>16</v>
      </c>
      <c r="L45">
        <v>2</v>
      </c>
      <c r="M45">
        <v>3.5</v>
      </c>
      <c r="N45">
        <v>3.3</v>
      </c>
      <c r="O45">
        <v>2.1</v>
      </c>
      <c r="P45">
        <v>3.75</v>
      </c>
      <c r="Q45">
        <v>3.4</v>
      </c>
      <c r="R45">
        <v>2.1</v>
      </c>
      <c r="S45">
        <v>3.4</v>
      </c>
      <c r="T45">
        <v>3.4</v>
      </c>
      <c r="U45">
        <v>2.1</v>
      </c>
      <c r="V45">
        <v>3.79</v>
      </c>
      <c r="W45">
        <v>3.28</v>
      </c>
      <c r="X45">
        <v>2.2200000000000002</v>
      </c>
      <c r="Y45">
        <v>3.3</v>
      </c>
      <c r="Z45">
        <v>3.4</v>
      </c>
      <c r="AA45">
        <v>2.15</v>
      </c>
    </row>
    <row r="46" spans="1:27">
      <c r="A46" s="3" t="str">
        <v>Inter</v>
      </c>
      <c r="B46">
        <v>4</v>
      </c>
      <c r="C46">
        <v>3</v>
      </c>
      <c r="D46" t="s">
        <v>66</v>
      </c>
      <c r="E46" t="s">
        <v>90</v>
      </c>
      <c r="F46">
        <v>7</v>
      </c>
      <c r="G46">
        <v>0</v>
      </c>
      <c r="H46">
        <v>23</v>
      </c>
      <c r="I46">
        <v>11</v>
      </c>
      <c r="J46">
        <v>7</v>
      </c>
      <c r="K46">
        <v>13</v>
      </c>
      <c r="L46">
        <v>1</v>
      </c>
      <c r="M46">
        <v>1.75</v>
      </c>
      <c r="N46">
        <v>3.75</v>
      </c>
      <c r="O46">
        <v>4.5</v>
      </c>
      <c r="P46">
        <v>1.72</v>
      </c>
      <c r="Q46">
        <v>3.6</v>
      </c>
      <c r="R46">
        <v>4.75</v>
      </c>
      <c r="S46">
        <v>1.72</v>
      </c>
      <c r="T46">
        <v>3.6</v>
      </c>
      <c r="U46">
        <v>4.8</v>
      </c>
      <c r="V46">
        <v>1.84</v>
      </c>
      <c r="W46">
        <v>3.62</v>
      </c>
      <c r="X46">
        <v>4.9800000000000004</v>
      </c>
      <c r="Y46">
        <v>1.8</v>
      </c>
      <c r="Z46">
        <v>3.6</v>
      </c>
      <c r="AA46">
        <v>4.4000000000000004</v>
      </c>
    </row>
    <row r="47" spans="1:27">
      <c r="A47" s="3" t="str">
        <v>Inter</v>
      </c>
      <c r="B47">
        <v>5</v>
      </c>
      <c r="C47">
        <v>3</v>
      </c>
      <c r="D47" t="s">
        <v>70</v>
      </c>
      <c r="E47" t="s">
        <v>90</v>
      </c>
      <c r="F47">
        <v>2</v>
      </c>
      <c r="G47">
        <v>1</v>
      </c>
      <c r="H47">
        <v>15</v>
      </c>
      <c r="I47">
        <v>5</v>
      </c>
      <c r="J47">
        <v>6</v>
      </c>
      <c r="K47">
        <v>15</v>
      </c>
      <c r="L47">
        <v>4</v>
      </c>
      <c r="M47">
        <v>1.91</v>
      </c>
      <c r="N47">
        <v>3.4</v>
      </c>
      <c r="O47">
        <v>4</v>
      </c>
      <c r="P47">
        <v>2</v>
      </c>
      <c r="Q47">
        <v>3.4</v>
      </c>
      <c r="R47">
        <v>3.6</v>
      </c>
      <c r="S47">
        <v>2</v>
      </c>
      <c r="T47">
        <v>3.4</v>
      </c>
      <c r="U47">
        <v>3.75</v>
      </c>
      <c r="V47">
        <v>2.0299999999999998</v>
      </c>
      <c r="W47">
        <v>3.49</v>
      </c>
      <c r="X47">
        <v>4.1900000000000004</v>
      </c>
      <c r="Y47">
        <v>1.91</v>
      </c>
      <c r="Z47">
        <v>3.3</v>
      </c>
      <c r="AA47">
        <v>4.2</v>
      </c>
    </row>
    <row r="48" spans="1:27">
      <c r="A48" s="3" t="str">
        <v>Inter</v>
      </c>
      <c r="B48">
        <v>6</v>
      </c>
      <c r="C48">
        <v>1</v>
      </c>
      <c r="D48" t="s">
        <v>66</v>
      </c>
      <c r="E48" t="s">
        <v>67</v>
      </c>
      <c r="F48">
        <v>1</v>
      </c>
      <c r="G48">
        <v>1</v>
      </c>
      <c r="H48">
        <v>15</v>
      </c>
      <c r="I48">
        <v>5</v>
      </c>
      <c r="J48">
        <v>6</v>
      </c>
      <c r="K48">
        <v>14</v>
      </c>
      <c r="L48">
        <v>2</v>
      </c>
      <c r="M48">
        <v>2</v>
      </c>
      <c r="N48">
        <v>3.3</v>
      </c>
      <c r="O48">
        <v>3.8</v>
      </c>
      <c r="P48">
        <v>1.91</v>
      </c>
      <c r="Q48">
        <v>3.5</v>
      </c>
      <c r="R48">
        <v>3.9</v>
      </c>
      <c r="S48">
        <v>1.95</v>
      </c>
      <c r="T48">
        <v>3.3</v>
      </c>
      <c r="U48">
        <v>4</v>
      </c>
      <c r="V48">
        <v>2.0099999999999998</v>
      </c>
      <c r="W48">
        <v>3.61</v>
      </c>
      <c r="X48">
        <v>4.0599999999999996</v>
      </c>
      <c r="Y48">
        <v>2.0499999999999998</v>
      </c>
      <c r="Z48">
        <v>3.3</v>
      </c>
      <c r="AA48">
        <v>3.6</v>
      </c>
    </row>
    <row r="49" spans="1:27">
      <c r="A49" s="3" t="str">
        <v>Inter</v>
      </c>
      <c r="B49">
        <v>7</v>
      </c>
      <c r="C49">
        <v>0</v>
      </c>
      <c r="D49" t="s">
        <v>70</v>
      </c>
      <c r="E49" t="s">
        <v>91</v>
      </c>
      <c r="F49">
        <v>0</v>
      </c>
      <c r="G49">
        <v>3</v>
      </c>
      <c r="H49">
        <v>18</v>
      </c>
      <c r="I49">
        <v>3</v>
      </c>
      <c r="J49">
        <v>10</v>
      </c>
      <c r="K49">
        <v>15</v>
      </c>
      <c r="L49">
        <v>2</v>
      </c>
      <c r="M49">
        <v>2.25</v>
      </c>
      <c r="N49">
        <v>3.5</v>
      </c>
      <c r="O49">
        <v>3</v>
      </c>
      <c r="P49">
        <v>2.25</v>
      </c>
      <c r="Q49">
        <v>3.5</v>
      </c>
      <c r="R49">
        <v>3</v>
      </c>
      <c r="S49">
        <v>2.2999999999999998</v>
      </c>
      <c r="T49">
        <v>3.4</v>
      </c>
      <c r="U49">
        <v>3</v>
      </c>
      <c r="V49">
        <v>2.38</v>
      </c>
      <c r="W49">
        <v>3.53</v>
      </c>
      <c r="X49">
        <v>3.16</v>
      </c>
      <c r="Y49">
        <v>2.4</v>
      </c>
      <c r="Z49">
        <v>3.1</v>
      </c>
      <c r="AA49">
        <v>3.1</v>
      </c>
    </row>
    <row r="50" spans="1:27">
      <c r="A50" s="3" t="str">
        <v>Inter</v>
      </c>
      <c r="B50">
        <v>8</v>
      </c>
      <c r="C50">
        <v>1</v>
      </c>
      <c r="D50" t="s">
        <v>66</v>
      </c>
      <c r="E50" t="s">
        <v>67</v>
      </c>
      <c r="F50">
        <v>3</v>
      </c>
      <c r="G50">
        <v>3</v>
      </c>
      <c r="H50">
        <v>8</v>
      </c>
      <c r="I50">
        <v>5</v>
      </c>
      <c r="J50">
        <v>2</v>
      </c>
      <c r="K50">
        <v>13</v>
      </c>
      <c r="L50">
        <v>2</v>
      </c>
      <c r="M50">
        <v>2.0499999999999998</v>
      </c>
      <c r="N50">
        <v>3.5</v>
      </c>
      <c r="O50">
        <v>3.4</v>
      </c>
      <c r="P50">
        <v>2.0499999999999998</v>
      </c>
      <c r="Q50">
        <v>3.4</v>
      </c>
      <c r="R50">
        <v>3.5</v>
      </c>
      <c r="S50">
        <v>2.1</v>
      </c>
      <c r="T50">
        <v>3.4</v>
      </c>
      <c r="U50">
        <v>3.4</v>
      </c>
      <c r="V50">
        <v>2.15</v>
      </c>
      <c r="W50">
        <v>3.43</v>
      </c>
      <c r="X50">
        <v>3.79</v>
      </c>
      <c r="Y50">
        <v>2.15</v>
      </c>
      <c r="Z50">
        <v>3.2</v>
      </c>
      <c r="AA50">
        <v>3.5</v>
      </c>
    </row>
    <row r="51" spans="1:27">
      <c r="A51" s="3" t="str">
        <v>Inter</v>
      </c>
      <c r="B51">
        <v>9</v>
      </c>
      <c r="C51">
        <v>3</v>
      </c>
      <c r="D51" t="s">
        <v>70</v>
      </c>
      <c r="E51" t="s">
        <v>90</v>
      </c>
      <c r="F51">
        <v>4</v>
      </c>
      <c r="G51">
        <v>2</v>
      </c>
      <c r="H51">
        <v>21</v>
      </c>
      <c r="I51">
        <v>8</v>
      </c>
      <c r="J51">
        <v>9</v>
      </c>
      <c r="K51">
        <v>11</v>
      </c>
      <c r="L51">
        <v>3</v>
      </c>
      <c r="M51">
        <v>1.44</v>
      </c>
      <c r="N51">
        <v>4.2</v>
      </c>
      <c r="O51">
        <v>7.5</v>
      </c>
      <c r="P51">
        <v>1.4</v>
      </c>
      <c r="Q51">
        <v>4.4000000000000004</v>
      </c>
      <c r="R51">
        <v>8</v>
      </c>
      <c r="S51">
        <v>1.5</v>
      </c>
      <c r="T51">
        <v>4.33</v>
      </c>
      <c r="U51">
        <v>6</v>
      </c>
      <c r="V51">
        <v>1.47</v>
      </c>
      <c r="W51">
        <v>4.62</v>
      </c>
      <c r="X51">
        <v>8.1</v>
      </c>
      <c r="Y51">
        <v>1.5</v>
      </c>
      <c r="Z51">
        <v>4</v>
      </c>
      <c r="AA51">
        <v>7</v>
      </c>
    </row>
    <row r="52" spans="1:27">
      <c r="A52" s="3" t="str">
        <v>Inter</v>
      </c>
      <c r="B52">
        <v>10</v>
      </c>
      <c r="C52">
        <v>1</v>
      </c>
      <c r="D52" t="s">
        <v>66</v>
      </c>
      <c r="E52" t="s">
        <v>67</v>
      </c>
      <c r="F52">
        <v>1</v>
      </c>
      <c r="G52">
        <v>1</v>
      </c>
      <c r="H52">
        <v>13</v>
      </c>
      <c r="I52">
        <v>4</v>
      </c>
      <c r="J52">
        <v>7</v>
      </c>
      <c r="K52">
        <v>14</v>
      </c>
      <c r="L52">
        <v>1</v>
      </c>
      <c r="M52">
        <v>2</v>
      </c>
      <c r="N52">
        <v>3.3</v>
      </c>
      <c r="O52">
        <v>3.8</v>
      </c>
      <c r="P52">
        <v>1.95</v>
      </c>
      <c r="Q52">
        <v>3.4</v>
      </c>
      <c r="R52">
        <v>3.75</v>
      </c>
      <c r="S52">
        <v>2.1</v>
      </c>
      <c r="T52">
        <v>3.3</v>
      </c>
      <c r="U52">
        <v>3.5</v>
      </c>
      <c r="V52">
        <v>2.0499999999999998</v>
      </c>
      <c r="W52">
        <v>3.49</v>
      </c>
      <c r="X52">
        <v>4.04</v>
      </c>
      <c r="Y52">
        <v>2.0499999999999998</v>
      </c>
      <c r="Z52">
        <v>3.5</v>
      </c>
      <c r="AA52">
        <v>3.5</v>
      </c>
    </row>
    <row r="53" spans="1:27">
      <c r="A53" s="3" t="str">
        <v>Inter</v>
      </c>
      <c r="B53">
        <v>11</v>
      </c>
      <c r="C53">
        <v>3</v>
      </c>
      <c r="D53" t="s">
        <v>66</v>
      </c>
      <c r="E53" t="s">
        <v>90</v>
      </c>
      <c r="F53">
        <v>3</v>
      </c>
      <c r="G53">
        <v>0</v>
      </c>
      <c r="H53">
        <v>13</v>
      </c>
      <c r="I53">
        <v>5</v>
      </c>
      <c r="J53">
        <v>4</v>
      </c>
      <c r="K53">
        <v>13</v>
      </c>
      <c r="L53">
        <v>3</v>
      </c>
      <c r="M53">
        <v>2.63</v>
      </c>
      <c r="N53">
        <v>3.3</v>
      </c>
      <c r="O53">
        <v>2.63</v>
      </c>
      <c r="P53">
        <v>2.5499999999999998</v>
      </c>
      <c r="Q53">
        <v>3.3</v>
      </c>
      <c r="R53">
        <v>2.7</v>
      </c>
      <c r="S53">
        <v>2.6</v>
      </c>
      <c r="T53">
        <v>3.4</v>
      </c>
      <c r="U53">
        <v>2.6</v>
      </c>
      <c r="V53">
        <v>2.67</v>
      </c>
      <c r="W53">
        <v>3.39</v>
      </c>
      <c r="X53">
        <v>2.85</v>
      </c>
      <c r="Y53">
        <v>2.7</v>
      </c>
      <c r="Z53">
        <v>3.1</v>
      </c>
      <c r="AA53">
        <v>2.7</v>
      </c>
    </row>
    <row r="54" spans="1:27">
      <c r="A54" s="3" t="str">
        <v>Inter</v>
      </c>
      <c r="B54">
        <v>12</v>
      </c>
      <c r="C54">
        <v>3</v>
      </c>
      <c r="D54" t="s">
        <v>70</v>
      </c>
      <c r="E54" t="s">
        <v>90</v>
      </c>
      <c r="F54">
        <v>2</v>
      </c>
      <c r="G54">
        <v>0</v>
      </c>
      <c r="H54">
        <v>12</v>
      </c>
      <c r="I54">
        <v>4</v>
      </c>
      <c r="J54">
        <v>6</v>
      </c>
      <c r="K54">
        <v>15</v>
      </c>
      <c r="L54">
        <v>3</v>
      </c>
      <c r="M54">
        <v>1.3</v>
      </c>
      <c r="N54">
        <v>5</v>
      </c>
      <c r="O54">
        <v>10</v>
      </c>
      <c r="P54">
        <v>1.3</v>
      </c>
      <c r="Q54">
        <v>5.25</v>
      </c>
      <c r="R54">
        <v>9.25</v>
      </c>
      <c r="S54">
        <v>1.28</v>
      </c>
      <c r="T54">
        <v>5.5</v>
      </c>
      <c r="U54">
        <v>9.5</v>
      </c>
      <c r="V54">
        <v>1.33</v>
      </c>
      <c r="W54">
        <v>5.55</v>
      </c>
      <c r="X54">
        <v>11.6</v>
      </c>
      <c r="Y54">
        <v>1.3</v>
      </c>
      <c r="Z54">
        <v>5</v>
      </c>
      <c r="AA54">
        <v>10</v>
      </c>
    </row>
    <row r="55" spans="1:27">
      <c r="A55" s="3" t="str">
        <v>Inter</v>
      </c>
      <c r="B55">
        <v>13</v>
      </c>
      <c r="C55">
        <v>1</v>
      </c>
      <c r="D55" t="s">
        <v>66</v>
      </c>
      <c r="E55" t="s">
        <v>67</v>
      </c>
      <c r="F55">
        <v>1</v>
      </c>
      <c r="G55">
        <v>1</v>
      </c>
      <c r="H55">
        <v>22</v>
      </c>
      <c r="I55">
        <v>6</v>
      </c>
      <c r="J55">
        <v>15</v>
      </c>
      <c r="K55">
        <v>9</v>
      </c>
      <c r="L55">
        <v>1</v>
      </c>
      <c r="M55">
        <v>1.91</v>
      </c>
      <c r="N55">
        <v>3.4</v>
      </c>
      <c r="O55">
        <v>4</v>
      </c>
      <c r="P55">
        <v>1.95</v>
      </c>
      <c r="Q55">
        <v>3.4</v>
      </c>
      <c r="R55">
        <v>3.9</v>
      </c>
      <c r="S55">
        <v>1.95</v>
      </c>
      <c r="T55">
        <v>3.5</v>
      </c>
      <c r="U55">
        <v>3.75</v>
      </c>
      <c r="V55">
        <v>1.99</v>
      </c>
      <c r="W55">
        <v>3.45</v>
      </c>
      <c r="X55">
        <v>4.38</v>
      </c>
      <c r="Y55">
        <v>2</v>
      </c>
      <c r="Z55">
        <v>3.2</v>
      </c>
      <c r="AA55">
        <v>4</v>
      </c>
    </row>
    <row r="56" spans="1:27">
      <c r="A56" s="3" t="str">
        <v>Inter</v>
      </c>
      <c r="B56">
        <v>14</v>
      </c>
      <c r="C56">
        <v>1</v>
      </c>
      <c r="D56" t="s">
        <v>70</v>
      </c>
      <c r="E56" t="s">
        <v>67</v>
      </c>
      <c r="F56">
        <v>1</v>
      </c>
      <c r="G56">
        <v>1</v>
      </c>
      <c r="H56">
        <v>11</v>
      </c>
      <c r="I56">
        <v>2</v>
      </c>
      <c r="J56">
        <v>4</v>
      </c>
      <c r="K56">
        <v>17</v>
      </c>
      <c r="L56">
        <v>3</v>
      </c>
      <c r="M56">
        <v>1.4</v>
      </c>
      <c r="N56">
        <v>4.5</v>
      </c>
      <c r="O56">
        <v>8</v>
      </c>
      <c r="P56">
        <v>1.35</v>
      </c>
      <c r="Q56">
        <v>4.5999999999999996</v>
      </c>
      <c r="R56">
        <v>9.5</v>
      </c>
      <c r="S56">
        <v>1.4</v>
      </c>
      <c r="T56">
        <v>4.5</v>
      </c>
      <c r="U56">
        <v>7.5</v>
      </c>
      <c r="V56">
        <v>1.4</v>
      </c>
      <c r="W56">
        <v>4.9400000000000004</v>
      </c>
      <c r="X56">
        <v>9.8699999999999992</v>
      </c>
      <c r="Y56">
        <v>1.4</v>
      </c>
      <c r="Z56">
        <v>4.2</v>
      </c>
      <c r="AA56">
        <v>9</v>
      </c>
    </row>
    <row r="57" spans="1:27">
      <c r="A57" s="3" t="str">
        <v>Inter</v>
      </c>
      <c r="B57">
        <v>15</v>
      </c>
      <c r="C57">
        <v>1</v>
      </c>
      <c r="D57" t="s">
        <v>70</v>
      </c>
      <c r="E57" t="s">
        <v>67</v>
      </c>
      <c r="F57">
        <v>3</v>
      </c>
      <c r="G57">
        <v>3</v>
      </c>
      <c r="H57">
        <v>15</v>
      </c>
      <c r="I57">
        <v>6</v>
      </c>
      <c r="J57">
        <v>3</v>
      </c>
      <c r="K57">
        <v>14</v>
      </c>
      <c r="L57">
        <v>2</v>
      </c>
      <c r="M57">
        <v>1.65</v>
      </c>
      <c r="N57">
        <v>3.75</v>
      </c>
      <c r="O57">
        <v>5.5</v>
      </c>
      <c r="P57">
        <v>1.6</v>
      </c>
      <c r="Q57">
        <v>3.8</v>
      </c>
      <c r="R57">
        <v>5.5</v>
      </c>
      <c r="S57">
        <v>1.66</v>
      </c>
      <c r="T57">
        <v>3.75</v>
      </c>
      <c r="U57">
        <v>5</v>
      </c>
      <c r="V57">
        <v>1.68</v>
      </c>
      <c r="W57">
        <v>3.93</v>
      </c>
      <c r="X57">
        <v>5.8</v>
      </c>
      <c r="Y57">
        <v>1.73</v>
      </c>
      <c r="Z57">
        <v>3.5</v>
      </c>
      <c r="AA57">
        <v>5</v>
      </c>
    </row>
    <row r="58" spans="1:27">
      <c r="A58" s="3" t="str">
        <v>Inter</v>
      </c>
      <c r="B58">
        <v>16</v>
      </c>
      <c r="C58">
        <v>0</v>
      </c>
      <c r="D58" t="s">
        <v>66</v>
      </c>
      <c r="E58" t="s">
        <v>91</v>
      </c>
      <c r="F58">
        <v>2</v>
      </c>
      <c r="G58">
        <v>4</v>
      </c>
      <c r="H58">
        <v>11</v>
      </c>
      <c r="I58">
        <v>5</v>
      </c>
      <c r="J58">
        <v>6</v>
      </c>
      <c r="K58">
        <v>9</v>
      </c>
      <c r="L58">
        <v>1</v>
      </c>
      <c r="M58">
        <v>4</v>
      </c>
      <c r="N58">
        <v>3.5</v>
      </c>
      <c r="O58">
        <v>1.91</v>
      </c>
      <c r="P58">
        <v>3.9</v>
      </c>
      <c r="Q58">
        <v>3.5</v>
      </c>
      <c r="R58">
        <v>1.91</v>
      </c>
      <c r="S58">
        <v>4</v>
      </c>
      <c r="T58">
        <v>3.5</v>
      </c>
      <c r="U58">
        <v>1.9</v>
      </c>
      <c r="V58">
        <v>4.4400000000000004</v>
      </c>
      <c r="W58">
        <v>3.69</v>
      </c>
      <c r="X58">
        <v>1.91</v>
      </c>
      <c r="Y58">
        <v>4.2</v>
      </c>
      <c r="Z58">
        <v>3.2</v>
      </c>
      <c r="AA58">
        <v>1.95</v>
      </c>
    </row>
    <row r="59" spans="1:27">
      <c r="A59" s="3" t="str">
        <v>Inter</v>
      </c>
      <c r="B59">
        <v>17</v>
      </c>
      <c r="C59">
        <v>3</v>
      </c>
      <c r="D59" t="s">
        <v>70</v>
      </c>
      <c r="E59" t="s">
        <v>90</v>
      </c>
      <c r="F59">
        <v>1</v>
      </c>
      <c r="G59">
        <v>0</v>
      </c>
      <c r="H59">
        <v>15</v>
      </c>
      <c r="I59">
        <v>7</v>
      </c>
      <c r="J59">
        <v>5</v>
      </c>
      <c r="K59">
        <v>13</v>
      </c>
      <c r="L59">
        <v>3</v>
      </c>
      <c r="M59">
        <v>2.63</v>
      </c>
      <c r="N59">
        <v>3.3</v>
      </c>
      <c r="O59">
        <v>2.63</v>
      </c>
      <c r="P59">
        <v>2.5</v>
      </c>
      <c r="Q59">
        <v>3.3</v>
      </c>
      <c r="R59">
        <v>2.75</v>
      </c>
      <c r="S59">
        <v>2.5</v>
      </c>
      <c r="T59">
        <v>3.3</v>
      </c>
      <c r="U59">
        <v>2.75</v>
      </c>
      <c r="V59">
        <v>2.83</v>
      </c>
      <c r="W59">
        <v>3.38</v>
      </c>
      <c r="X59">
        <v>2.69</v>
      </c>
      <c r="Y59">
        <v>2.7</v>
      </c>
      <c r="Z59">
        <v>3.1</v>
      </c>
      <c r="AA59">
        <v>2.7</v>
      </c>
    </row>
    <row r="60" spans="1:27">
      <c r="A60" s="3" t="str">
        <v>Inter</v>
      </c>
      <c r="B60">
        <v>18</v>
      </c>
      <c r="C60">
        <v>0</v>
      </c>
      <c r="D60" t="s">
        <v>66</v>
      </c>
      <c r="E60" t="s">
        <v>91</v>
      </c>
      <c r="F60">
        <v>0</v>
      </c>
      <c r="G60">
        <v>1</v>
      </c>
      <c r="H60">
        <v>10</v>
      </c>
      <c r="I60">
        <v>1</v>
      </c>
      <c r="J60">
        <v>4</v>
      </c>
      <c r="K60">
        <v>16</v>
      </c>
      <c r="L60">
        <v>2</v>
      </c>
      <c r="M60">
        <v>2.88</v>
      </c>
      <c r="N60">
        <v>3.3</v>
      </c>
      <c r="O60">
        <v>2.4</v>
      </c>
      <c r="P60">
        <v>2.7</v>
      </c>
      <c r="Q60">
        <v>3.3</v>
      </c>
      <c r="R60">
        <v>2.5499999999999998</v>
      </c>
      <c r="S60">
        <v>2.62</v>
      </c>
      <c r="T60">
        <v>3.3</v>
      </c>
      <c r="U60">
        <v>2.6</v>
      </c>
      <c r="V60">
        <v>3.03</v>
      </c>
      <c r="W60">
        <v>3.41</v>
      </c>
      <c r="X60">
        <v>2.52</v>
      </c>
      <c r="Y60">
        <v>3</v>
      </c>
      <c r="Z60">
        <v>3</v>
      </c>
      <c r="AA60">
        <v>2.5</v>
      </c>
    </row>
    <row r="61" spans="1:27">
      <c r="A61" s="3" t="str">
        <v>Inter</v>
      </c>
      <c r="B61">
        <v>19</v>
      </c>
      <c r="C61">
        <v>1</v>
      </c>
      <c r="D61" t="s">
        <v>70</v>
      </c>
      <c r="E61" t="s">
        <v>67</v>
      </c>
      <c r="F61">
        <v>1</v>
      </c>
      <c r="G61">
        <v>1</v>
      </c>
      <c r="H61">
        <v>9</v>
      </c>
      <c r="I61">
        <v>5</v>
      </c>
      <c r="J61">
        <v>6</v>
      </c>
      <c r="K61">
        <v>10</v>
      </c>
      <c r="L61">
        <v>1</v>
      </c>
      <c r="M61">
        <v>1.44</v>
      </c>
      <c r="N61">
        <v>4.33</v>
      </c>
      <c r="O61">
        <v>7</v>
      </c>
      <c r="P61">
        <v>1.42</v>
      </c>
      <c r="Q61">
        <v>4.33</v>
      </c>
      <c r="R61">
        <v>7.5</v>
      </c>
      <c r="S61">
        <v>1.44</v>
      </c>
      <c r="T61">
        <v>4.33</v>
      </c>
      <c r="U61">
        <v>7</v>
      </c>
      <c r="V61">
        <v>1.47</v>
      </c>
      <c r="W61">
        <v>4.5599999999999996</v>
      </c>
      <c r="X61">
        <v>8.36</v>
      </c>
      <c r="Y61">
        <v>1.44</v>
      </c>
      <c r="Z61">
        <v>4</v>
      </c>
      <c r="AA61">
        <v>8</v>
      </c>
    </row>
    <row r="62" spans="1:27">
      <c r="A62" s="3" t="str">
        <v>Inter</v>
      </c>
      <c r="B62">
        <v>20</v>
      </c>
      <c r="C62">
        <v>0</v>
      </c>
      <c r="D62" t="s">
        <v>66</v>
      </c>
      <c r="E62" t="s">
        <v>91</v>
      </c>
      <c r="F62">
        <v>0</v>
      </c>
      <c r="G62">
        <v>1</v>
      </c>
      <c r="H62">
        <v>11</v>
      </c>
      <c r="I62">
        <v>5</v>
      </c>
      <c r="J62">
        <v>5</v>
      </c>
      <c r="K62">
        <v>13</v>
      </c>
      <c r="L62">
        <v>1</v>
      </c>
      <c r="M62">
        <v>1.95</v>
      </c>
      <c r="N62">
        <v>3.4</v>
      </c>
      <c r="O62">
        <v>3.9</v>
      </c>
      <c r="P62">
        <v>1.95</v>
      </c>
      <c r="Q62">
        <v>3.3</v>
      </c>
      <c r="R62">
        <v>4</v>
      </c>
      <c r="S62">
        <v>2</v>
      </c>
      <c r="T62">
        <v>3.5</v>
      </c>
      <c r="U62">
        <v>3.6</v>
      </c>
      <c r="V62">
        <v>1.97</v>
      </c>
      <c r="W62">
        <v>3.54</v>
      </c>
      <c r="X62">
        <v>4.34</v>
      </c>
      <c r="Y62">
        <v>2</v>
      </c>
      <c r="Z62">
        <v>3.3</v>
      </c>
      <c r="AA62">
        <v>3.8</v>
      </c>
    </row>
    <row r="63" spans="1:27">
      <c r="A63" s="3" t="str">
        <v>Inter</v>
      </c>
      <c r="B63">
        <v>21</v>
      </c>
      <c r="C63">
        <v>1</v>
      </c>
      <c r="D63" t="s">
        <v>70</v>
      </c>
      <c r="E63" t="s">
        <v>67</v>
      </c>
      <c r="F63">
        <v>0</v>
      </c>
      <c r="G63">
        <v>0</v>
      </c>
      <c r="H63">
        <v>13</v>
      </c>
      <c r="I63">
        <v>3</v>
      </c>
      <c r="J63">
        <v>14</v>
      </c>
      <c r="K63">
        <v>13</v>
      </c>
      <c r="L63">
        <v>1</v>
      </c>
      <c r="M63">
        <v>1.33</v>
      </c>
      <c r="N63">
        <v>4.75</v>
      </c>
      <c r="O63">
        <v>9.5</v>
      </c>
      <c r="P63">
        <v>1.35</v>
      </c>
      <c r="Q63">
        <v>4.75</v>
      </c>
      <c r="R63">
        <v>8.5</v>
      </c>
      <c r="S63">
        <v>1.36</v>
      </c>
      <c r="T63">
        <v>4.8</v>
      </c>
      <c r="U63">
        <v>8</v>
      </c>
      <c r="V63">
        <v>1.34</v>
      </c>
      <c r="W63">
        <v>5.3</v>
      </c>
      <c r="X63">
        <v>11.3</v>
      </c>
      <c r="Y63">
        <v>1.36</v>
      </c>
      <c r="Z63">
        <v>4.5</v>
      </c>
      <c r="AA63">
        <v>9</v>
      </c>
    </row>
    <row r="64" spans="1:27">
      <c r="A64" s="3" t="str">
        <v>Inter</v>
      </c>
      <c r="B64">
        <v>22</v>
      </c>
      <c r="C64">
        <v>0</v>
      </c>
      <c r="D64" t="s">
        <v>66</v>
      </c>
      <c r="E64" t="s">
        <v>91</v>
      </c>
      <c r="F64">
        <v>1</v>
      </c>
      <c r="G64">
        <v>3</v>
      </c>
      <c r="H64">
        <v>7</v>
      </c>
      <c r="I64">
        <v>2</v>
      </c>
      <c r="J64">
        <v>4</v>
      </c>
      <c r="K64">
        <v>13</v>
      </c>
      <c r="L64">
        <v>2</v>
      </c>
      <c r="M64">
        <v>7.5</v>
      </c>
      <c r="N64">
        <v>4.5</v>
      </c>
      <c r="O64">
        <v>1.4</v>
      </c>
      <c r="P64">
        <v>7.25</v>
      </c>
      <c r="Q64">
        <v>4.5</v>
      </c>
      <c r="R64">
        <v>1.42</v>
      </c>
      <c r="S64">
        <v>7</v>
      </c>
      <c r="T64">
        <v>4.33</v>
      </c>
      <c r="U64">
        <v>1.44</v>
      </c>
      <c r="V64">
        <v>8.33</v>
      </c>
      <c r="W64">
        <v>4.7</v>
      </c>
      <c r="X64">
        <v>1.45</v>
      </c>
      <c r="Y64">
        <v>8</v>
      </c>
      <c r="Z64">
        <v>4</v>
      </c>
      <c r="AA64">
        <v>1.44</v>
      </c>
    </row>
    <row r="65" spans="1:27">
      <c r="A65" s="3" t="str">
        <v>Inter</v>
      </c>
      <c r="B65">
        <v>23</v>
      </c>
      <c r="C65">
        <v>3</v>
      </c>
      <c r="D65" t="s">
        <v>70</v>
      </c>
      <c r="E65" t="s">
        <v>90</v>
      </c>
      <c r="F65">
        <v>1</v>
      </c>
      <c r="G65">
        <v>0</v>
      </c>
      <c r="H65">
        <v>16</v>
      </c>
      <c r="I65">
        <v>7</v>
      </c>
      <c r="J65">
        <v>10</v>
      </c>
      <c r="K65">
        <v>13</v>
      </c>
      <c r="L65">
        <v>1</v>
      </c>
      <c r="M65">
        <v>1.33</v>
      </c>
      <c r="N65">
        <v>4.75</v>
      </c>
      <c r="O65">
        <v>10</v>
      </c>
      <c r="P65">
        <v>1.35</v>
      </c>
      <c r="Q65">
        <v>4.75</v>
      </c>
      <c r="R65">
        <v>8.75</v>
      </c>
      <c r="S65">
        <v>1.36</v>
      </c>
      <c r="T65">
        <v>5</v>
      </c>
      <c r="U65">
        <v>7.5</v>
      </c>
      <c r="V65">
        <v>1.4</v>
      </c>
      <c r="W65">
        <v>4.6900000000000004</v>
      </c>
      <c r="X65">
        <v>11</v>
      </c>
      <c r="Y65">
        <v>1.4</v>
      </c>
      <c r="Z65">
        <v>4</v>
      </c>
      <c r="AA65">
        <v>10</v>
      </c>
    </row>
    <row r="66" spans="1:27">
      <c r="A66" s="3" t="str">
        <v>Inter</v>
      </c>
      <c r="B66">
        <v>24</v>
      </c>
      <c r="C66">
        <v>3</v>
      </c>
      <c r="D66" t="s">
        <v>66</v>
      </c>
      <c r="E66" t="s">
        <v>90</v>
      </c>
      <c r="F66">
        <v>2</v>
      </c>
      <c r="G66">
        <v>1</v>
      </c>
      <c r="H66">
        <v>9</v>
      </c>
      <c r="I66">
        <v>4</v>
      </c>
      <c r="J66">
        <v>6</v>
      </c>
      <c r="K66">
        <v>16</v>
      </c>
      <c r="L66">
        <v>6</v>
      </c>
      <c r="M66">
        <v>3.4</v>
      </c>
      <c r="N66">
        <v>3.4</v>
      </c>
      <c r="O66">
        <v>2.1</v>
      </c>
      <c r="P66">
        <v>3.7</v>
      </c>
      <c r="Q66">
        <v>3.4</v>
      </c>
      <c r="R66">
        <v>2</v>
      </c>
      <c r="S66">
        <v>3.3</v>
      </c>
      <c r="T66">
        <v>3.4</v>
      </c>
      <c r="U66">
        <v>2.15</v>
      </c>
      <c r="V66">
        <v>3.78</v>
      </c>
      <c r="W66">
        <v>3.44</v>
      </c>
      <c r="X66">
        <v>2.15</v>
      </c>
      <c r="Y66">
        <v>3.6</v>
      </c>
      <c r="Z66">
        <v>3.2</v>
      </c>
      <c r="AA66">
        <v>2.15</v>
      </c>
    </row>
    <row r="67" spans="1:27">
      <c r="A67" s="3" t="str">
        <v>Inter</v>
      </c>
      <c r="B67">
        <v>25</v>
      </c>
      <c r="C67">
        <v>1</v>
      </c>
      <c r="D67" t="s">
        <v>70</v>
      </c>
      <c r="E67" t="s">
        <v>67</v>
      </c>
      <c r="F67">
        <v>1</v>
      </c>
      <c r="G67">
        <v>1</v>
      </c>
      <c r="H67">
        <v>16</v>
      </c>
      <c r="I67">
        <v>5</v>
      </c>
      <c r="J67">
        <v>5</v>
      </c>
      <c r="K67">
        <v>11</v>
      </c>
      <c r="L67">
        <v>1</v>
      </c>
      <c r="M67">
        <v>1.44</v>
      </c>
      <c r="N67">
        <v>4.2</v>
      </c>
      <c r="O67">
        <v>7.5</v>
      </c>
      <c r="P67">
        <v>1.4</v>
      </c>
      <c r="Q67">
        <v>4.25</v>
      </c>
      <c r="R67">
        <v>8.5</v>
      </c>
      <c r="S67">
        <v>1.44</v>
      </c>
      <c r="T67">
        <v>4.33</v>
      </c>
      <c r="U67">
        <v>7</v>
      </c>
      <c r="V67">
        <v>1.45</v>
      </c>
      <c r="W67">
        <v>4.4800000000000004</v>
      </c>
      <c r="X67">
        <v>9.36</v>
      </c>
      <c r="Y67">
        <v>1.44</v>
      </c>
      <c r="Z67">
        <v>4</v>
      </c>
      <c r="AA67">
        <v>8</v>
      </c>
    </row>
    <row r="68" spans="1:27">
      <c r="A68" s="3" t="str">
        <v>Inter</v>
      </c>
      <c r="B68">
        <v>26</v>
      </c>
      <c r="C68">
        <v>1</v>
      </c>
      <c r="D68" t="s">
        <v>66</v>
      </c>
      <c r="E68" t="s">
        <v>67</v>
      </c>
      <c r="F68">
        <v>0</v>
      </c>
      <c r="G68">
        <v>0</v>
      </c>
      <c r="H68">
        <v>11</v>
      </c>
      <c r="I68">
        <v>1</v>
      </c>
      <c r="J68">
        <v>6</v>
      </c>
      <c r="K68">
        <v>19</v>
      </c>
      <c r="L68">
        <v>1</v>
      </c>
      <c r="M68">
        <v>5.5</v>
      </c>
      <c r="N68">
        <v>3.8</v>
      </c>
      <c r="O68">
        <v>1.62</v>
      </c>
      <c r="P68">
        <v>5.25</v>
      </c>
      <c r="Q68">
        <v>4</v>
      </c>
      <c r="R68">
        <v>1.67</v>
      </c>
      <c r="S68">
        <v>5</v>
      </c>
      <c r="T68">
        <v>3.75</v>
      </c>
      <c r="U68">
        <v>1.66</v>
      </c>
      <c r="V68">
        <v>6</v>
      </c>
      <c r="W68">
        <v>3.97</v>
      </c>
      <c r="X68">
        <v>1.66</v>
      </c>
      <c r="Y68">
        <v>6</v>
      </c>
      <c r="Z68">
        <v>3.2</v>
      </c>
      <c r="AA68">
        <v>1.7</v>
      </c>
    </row>
    <row r="69" spans="1:27">
      <c r="A69" s="3" t="str">
        <v>Inter</v>
      </c>
      <c r="B69">
        <v>27</v>
      </c>
      <c r="C69">
        <v>3</v>
      </c>
      <c r="D69" t="s">
        <v>70</v>
      </c>
      <c r="E69" t="s">
        <v>90</v>
      </c>
      <c r="F69">
        <v>1</v>
      </c>
      <c r="G69">
        <v>0</v>
      </c>
      <c r="H69">
        <v>15</v>
      </c>
      <c r="I69">
        <v>3</v>
      </c>
      <c r="J69">
        <v>2</v>
      </c>
      <c r="K69">
        <v>8</v>
      </c>
      <c r="L69">
        <v>0</v>
      </c>
      <c r="M69">
        <v>1.57</v>
      </c>
      <c r="N69">
        <v>4</v>
      </c>
      <c r="O69">
        <v>5.5</v>
      </c>
      <c r="P69">
        <v>1.5</v>
      </c>
      <c r="Q69">
        <v>4.25</v>
      </c>
      <c r="R69">
        <v>6</v>
      </c>
      <c r="S69">
        <v>1.53</v>
      </c>
      <c r="T69">
        <v>4</v>
      </c>
      <c r="U69">
        <v>6</v>
      </c>
      <c r="V69">
        <v>1.6</v>
      </c>
      <c r="W69">
        <v>4.25</v>
      </c>
      <c r="X69">
        <v>6.19</v>
      </c>
      <c r="Y69">
        <v>1.62</v>
      </c>
      <c r="Z69">
        <v>3.6</v>
      </c>
      <c r="AA69">
        <v>6</v>
      </c>
    </row>
    <row r="70" spans="1:27">
      <c r="A70" s="3" t="str">
        <v>Inter</v>
      </c>
      <c r="B70">
        <v>28</v>
      </c>
      <c r="C70">
        <v>3</v>
      </c>
      <c r="D70" t="s">
        <v>66</v>
      </c>
      <c r="E70" t="s">
        <v>90</v>
      </c>
      <c r="F70">
        <v>2</v>
      </c>
      <c r="G70">
        <v>0</v>
      </c>
      <c r="H70">
        <v>18</v>
      </c>
      <c r="I70">
        <v>8</v>
      </c>
      <c r="J70">
        <v>5</v>
      </c>
      <c r="K70">
        <v>7</v>
      </c>
      <c r="L70">
        <v>1</v>
      </c>
      <c r="M70">
        <v>2.15</v>
      </c>
      <c r="N70">
        <v>3.4</v>
      </c>
      <c r="O70">
        <v>3.25</v>
      </c>
      <c r="P70">
        <v>2.1</v>
      </c>
      <c r="Q70">
        <v>3.3</v>
      </c>
      <c r="R70">
        <v>3.5</v>
      </c>
      <c r="S70">
        <v>2.15</v>
      </c>
      <c r="T70">
        <v>3.4</v>
      </c>
      <c r="U70">
        <v>3.25</v>
      </c>
      <c r="V70">
        <v>2.14</v>
      </c>
      <c r="W70">
        <v>3.45</v>
      </c>
      <c r="X70">
        <v>3.79</v>
      </c>
      <c r="Y70">
        <v>2.15</v>
      </c>
      <c r="Z70">
        <v>3.2</v>
      </c>
      <c r="AA70">
        <v>3.5</v>
      </c>
    </row>
    <row r="71" spans="1:27">
      <c r="A71" s="3" t="str">
        <v>Inter</v>
      </c>
      <c r="B71">
        <v>29</v>
      </c>
      <c r="C71">
        <v>0</v>
      </c>
      <c r="D71" t="s">
        <v>70</v>
      </c>
      <c r="E71" t="s">
        <v>91</v>
      </c>
      <c r="F71">
        <v>1</v>
      </c>
      <c r="G71">
        <v>2</v>
      </c>
      <c r="H71">
        <v>23</v>
      </c>
      <c r="I71">
        <v>6</v>
      </c>
      <c r="J71">
        <v>10</v>
      </c>
      <c r="K71">
        <v>17</v>
      </c>
      <c r="L71">
        <v>0</v>
      </c>
      <c r="M71">
        <v>1.44</v>
      </c>
      <c r="N71">
        <v>4.2</v>
      </c>
      <c r="O71">
        <v>7.5</v>
      </c>
      <c r="P71">
        <v>1.45</v>
      </c>
      <c r="Q71">
        <v>4.2</v>
      </c>
      <c r="R71">
        <v>7.25</v>
      </c>
      <c r="S71">
        <v>1.5</v>
      </c>
      <c r="T71">
        <v>4</v>
      </c>
      <c r="U71">
        <v>7</v>
      </c>
      <c r="V71">
        <v>1.49</v>
      </c>
      <c r="W71">
        <v>4.38</v>
      </c>
      <c r="X71">
        <v>8.35</v>
      </c>
      <c r="Y71">
        <v>1.5</v>
      </c>
      <c r="Z71">
        <v>3.6</v>
      </c>
      <c r="AA71">
        <v>8</v>
      </c>
    </row>
    <row r="72" spans="1:27">
      <c r="A72" s="3" t="str">
        <v>Inter</v>
      </c>
      <c r="B72">
        <v>30</v>
      </c>
      <c r="C72">
        <v>1</v>
      </c>
      <c r="D72" t="s">
        <v>70</v>
      </c>
      <c r="E72" t="s">
        <v>67</v>
      </c>
      <c r="F72">
        <v>0</v>
      </c>
      <c r="G72">
        <v>0</v>
      </c>
      <c r="H72">
        <v>20</v>
      </c>
      <c r="I72">
        <v>3</v>
      </c>
      <c r="J72">
        <v>11</v>
      </c>
      <c r="K72">
        <v>11</v>
      </c>
      <c r="L72">
        <v>1</v>
      </c>
      <c r="M72">
        <v>1.67</v>
      </c>
      <c r="N72">
        <v>3.75</v>
      </c>
      <c r="O72">
        <v>5</v>
      </c>
      <c r="P72">
        <v>1.65</v>
      </c>
      <c r="Q72">
        <v>3.7</v>
      </c>
      <c r="R72">
        <v>5.25</v>
      </c>
      <c r="S72">
        <v>1.66</v>
      </c>
      <c r="T72">
        <v>3.75</v>
      </c>
      <c r="U72">
        <v>5.5</v>
      </c>
      <c r="V72">
        <v>1.69</v>
      </c>
      <c r="W72">
        <v>3.8</v>
      </c>
      <c r="X72">
        <v>5.99</v>
      </c>
      <c r="Y72">
        <v>1.67</v>
      </c>
      <c r="Z72">
        <v>3.6</v>
      </c>
      <c r="AA72">
        <v>5.5</v>
      </c>
    </row>
    <row r="73" spans="1:27">
      <c r="A73" s="3" t="str">
        <v>Inter</v>
      </c>
      <c r="B73">
        <v>31</v>
      </c>
      <c r="C73">
        <v>1</v>
      </c>
      <c r="D73" t="s">
        <v>66</v>
      </c>
      <c r="E73" t="s">
        <v>67</v>
      </c>
      <c r="F73">
        <v>2</v>
      </c>
      <c r="G73">
        <v>2</v>
      </c>
      <c r="H73">
        <v>19</v>
      </c>
      <c r="I73">
        <v>6</v>
      </c>
      <c r="J73">
        <v>4</v>
      </c>
      <c r="K73">
        <v>12</v>
      </c>
      <c r="L73">
        <v>3</v>
      </c>
      <c r="M73">
        <v>1.91</v>
      </c>
      <c r="N73">
        <v>3.5</v>
      </c>
      <c r="O73">
        <v>4</v>
      </c>
      <c r="P73">
        <v>1.91</v>
      </c>
      <c r="Q73">
        <v>3.4</v>
      </c>
      <c r="R73">
        <v>4.0999999999999996</v>
      </c>
      <c r="S73">
        <v>1.9</v>
      </c>
      <c r="T73">
        <v>3.4</v>
      </c>
      <c r="U73">
        <v>4</v>
      </c>
      <c r="V73">
        <v>1.93</v>
      </c>
      <c r="W73">
        <v>3.58</v>
      </c>
      <c r="X73">
        <v>4.51</v>
      </c>
      <c r="Y73">
        <v>1.91</v>
      </c>
      <c r="Z73">
        <v>3.1</v>
      </c>
      <c r="AA73">
        <v>4.5</v>
      </c>
    </row>
    <row r="74" spans="1:27">
      <c r="A74" s="3" t="str">
        <v>Inter</v>
      </c>
      <c r="B74">
        <v>32</v>
      </c>
      <c r="C74">
        <v>1</v>
      </c>
      <c r="D74" t="s">
        <v>70</v>
      </c>
      <c r="E74" t="s">
        <v>67</v>
      </c>
      <c r="F74">
        <v>2</v>
      </c>
      <c r="G74">
        <v>2</v>
      </c>
      <c r="H74">
        <v>17</v>
      </c>
      <c r="I74">
        <v>6</v>
      </c>
      <c r="J74">
        <v>5</v>
      </c>
      <c r="K74">
        <v>15</v>
      </c>
      <c r="L74">
        <v>1</v>
      </c>
      <c r="M74">
        <v>1.36</v>
      </c>
      <c r="N74">
        <v>4.5</v>
      </c>
      <c r="O74">
        <v>9</v>
      </c>
      <c r="P74">
        <v>1.35</v>
      </c>
      <c r="Q74">
        <v>4.75</v>
      </c>
      <c r="R74">
        <v>8.75</v>
      </c>
      <c r="S74">
        <v>1.4</v>
      </c>
      <c r="T74">
        <v>4.5</v>
      </c>
      <c r="U74">
        <v>8</v>
      </c>
      <c r="V74">
        <v>1.4</v>
      </c>
      <c r="W74">
        <v>4.82</v>
      </c>
      <c r="X74">
        <v>10.11</v>
      </c>
      <c r="Y74">
        <v>1.4</v>
      </c>
      <c r="Z74">
        <v>4.33</v>
      </c>
      <c r="AA74">
        <v>9</v>
      </c>
    </row>
    <row r="75" spans="1:27">
      <c r="A75" s="3" t="str">
        <v>Inter</v>
      </c>
      <c r="B75">
        <v>33</v>
      </c>
      <c r="C75">
        <v>3</v>
      </c>
      <c r="D75" t="s">
        <v>66</v>
      </c>
      <c r="E75" t="s">
        <v>90</v>
      </c>
      <c r="F75">
        <v>4</v>
      </c>
      <c r="G75">
        <v>0</v>
      </c>
      <c r="H75">
        <v>16</v>
      </c>
      <c r="I75">
        <v>6</v>
      </c>
      <c r="J75">
        <v>4</v>
      </c>
      <c r="K75">
        <v>19</v>
      </c>
      <c r="L75">
        <v>3</v>
      </c>
      <c r="M75">
        <v>2.25</v>
      </c>
      <c r="N75">
        <v>3.3</v>
      </c>
      <c r="O75">
        <v>3.2</v>
      </c>
      <c r="P75">
        <v>2.25</v>
      </c>
      <c r="Q75">
        <v>3.25</v>
      </c>
      <c r="R75">
        <v>3.1</v>
      </c>
      <c r="S75">
        <v>2.2999999999999998</v>
      </c>
      <c r="T75">
        <v>3.3</v>
      </c>
      <c r="U75">
        <v>3.1</v>
      </c>
      <c r="V75">
        <v>2.2999999999999998</v>
      </c>
      <c r="W75">
        <v>3.38</v>
      </c>
      <c r="X75">
        <v>3.45</v>
      </c>
      <c r="Y75">
        <v>2.2999999999999998</v>
      </c>
      <c r="Z75">
        <v>3.2</v>
      </c>
      <c r="AA75">
        <v>3.2</v>
      </c>
    </row>
    <row r="76" spans="1:27">
      <c r="A76" s="3" t="str">
        <v>Inter</v>
      </c>
      <c r="B76">
        <v>34</v>
      </c>
      <c r="C76">
        <v>3</v>
      </c>
      <c r="D76" t="s">
        <v>66</v>
      </c>
      <c r="E76" t="s">
        <v>90</v>
      </c>
      <c r="F76">
        <v>2</v>
      </c>
      <c r="G76">
        <v>0</v>
      </c>
      <c r="H76">
        <v>15</v>
      </c>
      <c r="I76">
        <v>6</v>
      </c>
      <c r="J76">
        <v>5</v>
      </c>
      <c r="K76">
        <v>15</v>
      </c>
      <c r="L76">
        <v>3</v>
      </c>
      <c r="M76">
        <v>2.88</v>
      </c>
      <c r="N76">
        <v>3.3</v>
      </c>
      <c r="O76">
        <v>2.4</v>
      </c>
      <c r="P76">
        <v>2.6</v>
      </c>
      <c r="Q76">
        <v>3.4</v>
      </c>
      <c r="R76">
        <v>2.5499999999999998</v>
      </c>
      <c r="S76">
        <v>2.75</v>
      </c>
      <c r="T76">
        <v>3.3</v>
      </c>
      <c r="U76">
        <v>2.5</v>
      </c>
      <c r="V76">
        <v>2.93</v>
      </c>
      <c r="W76">
        <v>3.46</v>
      </c>
      <c r="X76">
        <v>2.57</v>
      </c>
      <c r="Y76">
        <v>2.75</v>
      </c>
      <c r="Z76">
        <v>3.3</v>
      </c>
      <c r="AA76">
        <v>2.5</v>
      </c>
    </row>
    <row r="77" spans="1:27">
      <c r="A77" s="3" t="str">
        <v>Inter</v>
      </c>
      <c r="B77">
        <v>35</v>
      </c>
      <c r="C77">
        <v>1</v>
      </c>
      <c r="D77" t="s">
        <v>70</v>
      </c>
      <c r="E77" t="s">
        <v>67</v>
      </c>
      <c r="F77">
        <v>0</v>
      </c>
      <c r="G77">
        <v>0</v>
      </c>
      <c r="H77">
        <v>14</v>
      </c>
      <c r="I77">
        <v>6</v>
      </c>
      <c r="J77">
        <v>2</v>
      </c>
      <c r="K77">
        <v>7</v>
      </c>
      <c r="L77">
        <v>1</v>
      </c>
      <c r="M77">
        <v>2.25</v>
      </c>
      <c r="N77">
        <v>3.4</v>
      </c>
      <c r="O77">
        <v>3.1</v>
      </c>
      <c r="P77">
        <v>2.2000000000000002</v>
      </c>
      <c r="Q77">
        <v>3.4</v>
      </c>
      <c r="R77">
        <v>3.1</v>
      </c>
      <c r="S77">
        <v>2.2000000000000002</v>
      </c>
      <c r="T77">
        <v>3.4</v>
      </c>
      <c r="U77">
        <v>3.2</v>
      </c>
      <c r="V77">
        <v>2.2799999999999998</v>
      </c>
      <c r="W77">
        <v>3.54</v>
      </c>
      <c r="X77">
        <v>3.35</v>
      </c>
      <c r="Y77">
        <v>2.2999999999999998</v>
      </c>
      <c r="Z77">
        <v>3.2</v>
      </c>
      <c r="AA77">
        <v>3.2</v>
      </c>
    </row>
    <row r="78" spans="1:27">
      <c r="A78" s="3" t="str">
        <v>Inter</v>
      </c>
      <c r="B78">
        <v>36</v>
      </c>
      <c r="C78">
        <v>0</v>
      </c>
      <c r="D78" t="s">
        <v>66</v>
      </c>
      <c r="E78" t="s">
        <v>91</v>
      </c>
      <c r="F78">
        <v>0</v>
      </c>
      <c r="G78">
        <v>1</v>
      </c>
      <c r="H78">
        <v>7</v>
      </c>
      <c r="I78">
        <v>0</v>
      </c>
      <c r="J78">
        <v>5</v>
      </c>
      <c r="K78">
        <v>15</v>
      </c>
      <c r="L78">
        <v>3</v>
      </c>
      <c r="M78">
        <v>2.8</v>
      </c>
      <c r="N78">
        <v>3.4</v>
      </c>
      <c r="O78">
        <v>2.4</v>
      </c>
      <c r="P78">
        <v>2.75</v>
      </c>
      <c r="Q78">
        <v>3.4</v>
      </c>
      <c r="R78">
        <v>2.4500000000000002</v>
      </c>
      <c r="S78">
        <v>2.87</v>
      </c>
      <c r="T78">
        <v>3.4</v>
      </c>
      <c r="U78">
        <v>2.37</v>
      </c>
      <c r="V78">
        <v>3.02</v>
      </c>
      <c r="W78">
        <v>3.49</v>
      </c>
      <c r="X78">
        <v>2.48</v>
      </c>
      <c r="Y78">
        <v>2.8</v>
      </c>
      <c r="Z78">
        <v>3.1</v>
      </c>
      <c r="AA78">
        <v>2.62</v>
      </c>
    </row>
    <row r="79" spans="1:27">
      <c r="A79" s="3" t="str">
        <v>Inter</v>
      </c>
      <c r="B79">
        <v>37</v>
      </c>
      <c r="C79">
        <v>3</v>
      </c>
      <c r="D79" t="s">
        <v>70</v>
      </c>
      <c r="E79" t="s">
        <v>90</v>
      </c>
      <c r="F79">
        <v>4</v>
      </c>
      <c r="G79">
        <v>1</v>
      </c>
      <c r="H79">
        <v>9</v>
      </c>
      <c r="I79">
        <v>7</v>
      </c>
      <c r="J79">
        <v>3</v>
      </c>
      <c r="K79">
        <v>13</v>
      </c>
      <c r="L79">
        <v>1</v>
      </c>
      <c r="M79">
        <v>1.73</v>
      </c>
      <c r="N79">
        <v>3.75</v>
      </c>
      <c r="O79">
        <v>4.5</v>
      </c>
      <c r="P79">
        <v>1.72</v>
      </c>
      <c r="Q79">
        <v>3.75</v>
      </c>
      <c r="R79">
        <v>4.5</v>
      </c>
      <c r="S79">
        <v>1.8</v>
      </c>
      <c r="T79">
        <v>3.5</v>
      </c>
      <c r="U79">
        <v>4.5</v>
      </c>
      <c r="V79">
        <v>1.8</v>
      </c>
      <c r="W79">
        <v>4.0199999999999996</v>
      </c>
      <c r="X79">
        <v>4.6100000000000003</v>
      </c>
      <c r="Y79">
        <v>1.75</v>
      </c>
      <c r="Z79">
        <v>3.4</v>
      </c>
      <c r="AA79">
        <v>5</v>
      </c>
    </row>
    <row r="80" spans="1:27">
      <c r="A80" s="3" t="str">
        <v>Inter</v>
      </c>
      <c r="B80">
        <v>38</v>
      </c>
      <c r="C80">
        <v>0</v>
      </c>
      <c r="D80" t="s">
        <v>66</v>
      </c>
      <c r="E80" t="s">
        <v>91</v>
      </c>
      <c r="F80">
        <v>1</v>
      </c>
      <c r="G80">
        <v>2</v>
      </c>
      <c r="H80">
        <v>14</v>
      </c>
      <c r="I80">
        <v>3</v>
      </c>
      <c r="J80">
        <v>3</v>
      </c>
      <c r="K80">
        <v>14</v>
      </c>
      <c r="L80">
        <v>1</v>
      </c>
      <c r="M80">
        <v>1.95</v>
      </c>
      <c r="N80">
        <v>3.3</v>
      </c>
      <c r="O80">
        <v>4</v>
      </c>
      <c r="P80">
        <v>1.9</v>
      </c>
      <c r="Q80">
        <v>3.5</v>
      </c>
      <c r="R80">
        <v>3.9</v>
      </c>
      <c r="S80">
        <v>1.95</v>
      </c>
      <c r="T80">
        <v>3.5</v>
      </c>
      <c r="U80">
        <v>3.75</v>
      </c>
      <c r="V80">
        <v>1.96</v>
      </c>
      <c r="W80">
        <v>3.58</v>
      </c>
      <c r="X80">
        <v>4.33</v>
      </c>
      <c r="Y80">
        <v>1.95</v>
      </c>
      <c r="Z80">
        <v>3.4</v>
      </c>
      <c r="AA80">
        <v>4</v>
      </c>
    </row>
  </sheetData>
  <dataValidations count="1">
    <dataValidation type="list" allowBlank="1" showInputMessage="1" showErrorMessage="1" sqref="B1:B2 E1:E2">
      <formula1>Teams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2:AD76"/>
  <sheetViews>
    <sheetView workbookViewId="0">
      <selection activeCell="J4" sqref="J4"/>
    </sheetView>
  </sheetViews>
  <sheetFormatPr defaultRowHeight="15"/>
  <cols>
    <col min="6" max="6" width="23.7109375" customWidth="1"/>
    <col min="7" max="7" width="13.42578125" customWidth="1"/>
    <col min="11" max="11" width="9.5703125" bestFit="1" customWidth="1"/>
    <col min="12" max="12" width="10.7109375" bestFit="1" customWidth="1"/>
    <col min="13" max="13" width="9.28515625" customWidth="1"/>
    <col min="14" max="14" width="5.5703125" customWidth="1"/>
    <col min="15" max="15" width="23.28515625" bestFit="1" customWidth="1"/>
    <col min="30" max="30" width="10.7109375" bestFit="1" customWidth="1"/>
  </cols>
  <sheetData>
    <row r="2" spans="1:30">
      <c r="A2" s="16" t="str">
        <f>"t-test (If " &amp; Team!$E$1  &amp; " scores relatively more  " &amp; Team!$B$1 &amp; ")"</f>
        <v>t-test (If Inter scores relatively more  Milan)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</row>
    <row r="4" spans="1:30" ht="15.75" thickBot="1">
      <c r="B4" s="9" t="str">
        <f>Team!$E$1</f>
        <v>Inter</v>
      </c>
      <c r="C4" s="20" t="str">
        <f>Team!$B$1</f>
        <v>Milan</v>
      </c>
    </row>
    <row r="5" spans="1:30">
      <c r="A5" s="8" t="s">
        <v>108</v>
      </c>
      <c r="B5" s="9" t="str">
        <f>"GF_" &amp; LEFT(B4,3)</f>
        <v>GF_Int</v>
      </c>
      <c r="C5" s="20" t="str">
        <f>"GF_" &amp; LEFT(C4,3)</f>
        <v>GF_Mil</v>
      </c>
      <c r="D5" t="s">
        <v>128</v>
      </c>
      <c r="F5" s="26" t="s">
        <v>219</v>
      </c>
      <c r="G5" s="26"/>
      <c r="V5" s="39" t="s">
        <v>267</v>
      </c>
    </row>
    <row r="6" spans="1:30">
      <c r="A6" s="8">
        <v>1</v>
      </c>
      <c r="B6" s="9">
        <v>2</v>
      </c>
      <c r="C6" s="20">
        <v>1</v>
      </c>
      <c r="D6" s="43">
        <f t="array" ref="D6:D43">B6:B43-C6:C43</f>
        <v>1</v>
      </c>
      <c r="F6" s="17"/>
      <c r="G6" s="17"/>
      <c r="I6" s="37" t="s">
        <v>259</v>
      </c>
      <c r="K6" s="13" t="s">
        <v>264</v>
      </c>
      <c r="L6" s="53" t="s">
        <v>266</v>
      </c>
      <c r="M6" s="50" t="s">
        <v>265</v>
      </c>
      <c r="V6" s="39" t="s">
        <v>260</v>
      </c>
      <c r="X6" s="39"/>
      <c r="Y6" s="39"/>
      <c r="Z6" s="39"/>
      <c r="AA6" s="39"/>
      <c r="AB6" s="39"/>
      <c r="AC6" s="39"/>
      <c r="AD6" s="39" t="s">
        <v>262</v>
      </c>
    </row>
    <row r="7" spans="1:30">
      <c r="A7" s="8">
        <v>2</v>
      </c>
      <c r="B7" s="9">
        <v>3</v>
      </c>
      <c r="C7" s="20">
        <v>3</v>
      </c>
      <c r="D7" s="43">
        <v>0</v>
      </c>
      <c r="F7" s="17" t="s">
        <v>121</v>
      </c>
      <c r="G7" s="17">
        <v>0.13157894736842105</v>
      </c>
      <c r="I7">
        <f>G16</f>
        <v>-3</v>
      </c>
      <c r="J7" t="s">
        <v>254</v>
      </c>
      <c r="K7" s="13">
        <f>I7</f>
        <v>-3</v>
      </c>
      <c r="L7" s="52">
        <f>I7+3</f>
        <v>0</v>
      </c>
      <c r="M7" s="37">
        <f>L7</f>
        <v>0</v>
      </c>
      <c r="V7" s="39">
        <v>-3</v>
      </c>
      <c r="X7" s="39" t="s">
        <v>255</v>
      </c>
      <c r="Y7" s="39">
        <f>0.25*(COUNT($V$7:$V$44)-1)</f>
        <v>9.25</v>
      </c>
      <c r="Z7" s="39">
        <f>INDEX($V$7:$V$44,ROUND(Y7+1,0),1)</f>
        <v>-1</v>
      </c>
      <c r="AA7" s="39">
        <f>INDEX($V$7:$V$44,IF((Y7-INT(Y7))&lt;0.5,CEILING(Y7,1)+1,CEILING(Y7,1)),1)</f>
        <v>-1</v>
      </c>
      <c r="AB7" s="39">
        <f>ABS(AA7-Z7)*(Y7-INT(Y7))</f>
        <v>0</v>
      </c>
      <c r="AC7" s="39">
        <f>MIN(Z7,AA7)+AB7</f>
        <v>-1</v>
      </c>
      <c r="AD7" s="39" t="b">
        <f>I8=AC7</f>
        <v>1</v>
      </c>
    </row>
    <row r="8" spans="1:30">
      <c r="A8" s="8">
        <v>3</v>
      </c>
      <c r="B8" s="9">
        <v>1</v>
      </c>
      <c r="C8" s="20">
        <v>2</v>
      </c>
      <c r="D8" s="43">
        <v>-1</v>
      </c>
      <c r="F8" s="17" t="s">
        <v>135</v>
      </c>
      <c r="G8" s="17">
        <v>0.28765756429845685</v>
      </c>
      <c r="I8">
        <f>QUARTILE(D6:D43,1)</f>
        <v>-1</v>
      </c>
      <c r="J8" t="s">
        <v>255</v>
      </c>
      <c r="K8" s="13">
        <f>I8-I7</f>
        <v>2</v>
      </c>
      <c r="L8" s="52">
        <f t="shared" ref="L8:L11" si="0">I8+3</f>
        <v>2</v>
      </c>
      <c r="M8" s="37">
        <f>L8-L7</f>
        <v>2</v>
      </c>
      <c r="V8" s="39">
        <v>-2</v>
      </c>
      <c r="X8" s="39" t="s">
        <v>261</v>
      </c>
      <c r="Y8" s="39">
        <f>0.5*(COUNT($V$7:$V$44)-1)</f>
        <v>18.5</v>
      </c>
      <c r="Z8" s="39">
        <f>INDEX($V$7:$V$44,ROUND(Y8+1,0),1)</f>
        <v>0</v>
      </c>
      <c r="AA8" s="39">
        <f>INDEX($V$7:$V$44,IF((Y8-INT(Y8))&lt;0.5,CEILING(Y8,1)+1,CEILING(Y8,1)),1)</f>
        <v>0</v>
      </c>
      <c r="AB8" s="39">
        <f>ABS(AA8-Z8)*(Y8-INT(Y8))</f>
        <v>0</v>
      </c>
      <c r="AC8" s="39">
        <f>MIN(Z8,AA8)+AB8</f>
        <v>0</v>
      </c>
      <c r="AD8" s="39" t="b">
        <f>I9=AC8</f>
        <v>1</v>
      </c>
    </row>
    <row r="9" spans="1:30">
      <c r="A9" s="8">
        <v>4</v>
      </c>
      <c r="B9" s="9">
        <v>7</v>
      </c>
      <c r="C9" s="20">
        <v>1</v>
      </c>
      <c r="D9" s="43">
        <v>6</v>
      </c>
      <c r="F9" s="17" t="s">
        <v>158</v>
      </c>
      <c r="G9" s="17">
        <v>0</v>
      </c>
      <c r="I9" s="51">
        <f>QUARTILE(D6:D43,2)</f>
        <v>0</v>
      </c>
      <c r="J9" t="s">
        <v>256</v>
      </c>
      <c r="K9" s="13">
        <f>I9-I8</f>
        <v>1</v>
      </c>
      <c r="L9" s="52">
        <f t="shared" si="0"/>
        <v>3</v>
      </c>
      <c r="M9" s="37">
        <f>L9-L8</f>
        <v>1</v>
      </c>
      <c r="V9" s="39">
        <v>-2</v>
      </c>
      <c r="X9" s="39" t="s">
        <v>257</v>
      </c>
      <c r="Y9" s="39">
        <f>0.75*(COUNT($V$7:$V$44)-1)</f>
        <v>27.75</v>
      </c>
      <c r="Z9" s="39">
        <f>INDEX($V$7:$V$44,ROUND(Y9+1,0),1)</f>
        <v>1</v>
      </c>
      <c r="AA9" s="39">
        <f>INDEX($V$7:$V$44,IF((Y9-INT(Y9))&lt;0.5,CEILING(Y9,1)+1,CEILING(Y9,1)),1)</f>
        <v>1</v>
      </c>
      <c r="AB9" s="39">
        <f>ABS(AA9-Z9)*(Y9-INT(Y9))</f>
        <v>0</v>
      </c>
      <c r="AC9" s="39">
        <f>MIN(Z9,AA9)+AB9</f>
        <v>1</v>
      </c>
      <c r="AD9" s="39" t="b">
        <f>I10=AC9</f>
        <v>1</v>
      </c>
    </row>
    <row r="10" spans="1:30">
      <c r="A10" s="8">
        <v>5</v>
      </c>
      <c r="B10" s="9">
        <v>2</v>
      </c>
      <c r="C10" s="20">
        <v>3</v>
      </c>
      <c r="D10" s="43">
        <v>-1</v>
      </c>
      <c r="F10" s="17" t="s">
        <v>159</v>
      </c>
      <c r="G10" s="17">
        <v>0</v>
      </c>
      <c r="I10">
        <f>QUARTILE(D6:D43,3)</f>
        <v>1</v>
      </c>
      <c r="J10" t="s">
        <v>257</v>
      </c>
      <c r="K10" s="13">
        <f>I10-I9</f>
        <v>1</v>
      </c>
      <c r="L10" s="52">
        <f t="shared" si="0"/>
        <v>4</v>
      </c>
      <c r="M10" s="37">
        <f>L10-L9</f>
        <v>1</v>
      </c>
      <c r="V10" s="39">
        <v>-2</v>
      </c>
      <c r="X10" s="39" t="s">
        <v>263</v>
      </c>
      <c r="Y10" s="39">
        <f>1*(COUNT($V$7:$V$44)-1)</f>
        <v>37</v>
      </c>
      <c r="Z10" s="39">
        <f>INDEX($V$7:$V$44,ROUND(Y10+1,0),1)</f>
        <v>6</v>
      </c>
      <c r="AA10" s="39">
        <f>INDEX($V$7:$V$44,IF((Y10-INT(Y10))&lt;0.5,CEILING(Y10,1)+1,CEILING(Y10,1)),1)</f>
        <v>6</v>
      </c>
      <c r="AB10" s="39">
        <f>ABS(AA10-Z10)*(Y10-INT(Y10))</f>
        <v>0</v>
      </c>
      <c r="AC10" s="39">
        <f>MIN(Z10,AA10)+AB10</f>
        <v>6</v>
      </c>
    </row>
    <row r="11" spans="1:30">
      <c r="A11" s="8">
        <v>6</v>
      </c>
      <c r="B11" s="9">
        <v>1</v>
      </c>
      <c r="C11" s="20">
        <v>1</v>
      </c>
      <c r="D11" s="43">
        <v>0</v>
      </c>
      <c r="F11" s="17" t="s">
        <v>160</v>
      </c>
      <c r="G11" s="17">
        <v>1.773240317421356</v>
      </c>
      <c r="I11">
        <f>G17</f>
        <v>6</v>
      </c>
      <c r="J11" t="s">
        <v>258</v>
      </c>
      <c r="K11" s="13">
        <f>I11-I10</f>
        <v>5</v>
      </c>
      <c r="L11" s="52">
        <f t="shared" si="0"/>
        <v>9</v>
      </c>
      <c r="M11" s="37">
        <f>L11-L10</f>
        <v>5</v>
      </c>
      <c r="V11" s="39">
        <v>-2</v>
      </c>
    </row>
    <row r="12" spans="1:30">
      <c r="A12" s="8">
        <v>7</v>
      </c>
      <c r="B12" s="9">
        <v>0</v>
      </c>
      <c r="C12" s="20">
        <v>2</v>
      </c>
      <c r="D12" s="43">
        <v>-2</v>
      </c>
      <c r="F12" s="17" t="s">
        <v>161</v>
      </c>
      <c r="G12" s="17">
        <v>3.1443812233285917</v>
      </c>
      <c r="K12" s="50"/>
      <c r="V12" s="39">
        <v>-2</v>
      </c>
    </row>
    <row r="13" spans="1:30">
      <c r="A13" s="8">
        <v>8</v>
      </c>
      <c r="B13" s="9">
        <v>3</v>
      </c>
      <c r="C13" s="20">
        <v>1</v>
      </c>
      <c r="D13" s="43">
        <v>2</v>
      </c>
      <c r="F13" s="17" t="s">
        <v>162</v>
      </c>
      <c r="G13" s="17">
        <v>2.0166356569258674</v>
      </c>
      <c r="J13" s="70" t="s">
        <v>425</v>
      </c>
      <c r="V13" s="39">
        <v>-1</v>
      </c>
    </row>
    <row r="14" spans="1:30">
      <c r="A14" s="8">
        <v>9</v>
      </c>
      <c r="B14" s="9">
        <v>4</v>
      </c>
      <c r="C14" s="20">
        <v>2</v>
      </c>
      <c r="D14" s="43">
        <v>2</v>
      </c>
      <c r="F14" s="17" t="s">
        <v>163</v>
      </c>
      <c r="G14" s="17">
        <v>1.0488345063507545</v>
      </c>
      <c r="J14" s="70" t="s">
        <v>426</v>
      </c>
      <c r="V14" s="39">
        <v>-1</v>
      </c>
    </row>
    <row r="15" spans="1:30">
      <c r="A15" s="8">
        <v>10</v>
      </c>
      <c r="B15" s="9">
        <v>1</v>
      </c>
      <c r="C15" s="20">
        <v>1</v>
      </c>
      <c r="D15" s="43">
        <v>0</v>
      </c>
      <c r="F15" s="17" t="s">
        <v>164</v>
      </c>
      <c r="G15" s="17">
        <v>9</v>
      </c>
      <c r="J15" s="70" t="s">
        <v>427</v>
      </c>
      <c r="V15" s="39">
        <v>-1</v>
      </c>
    </row>
    <row r="16" spans="1:30">
      <c r="A16" s="8">
        <v>11</v>
      </c>
      <c r="B16" s="9">
        <v>3</v>
      </c>
      <c r="C16" s="20">
        <v>0</v>
      </c>
      <c r="D16" s="43">
        <v>3</v>
      </c>
      <c r="F16" s="17" t="s">
        <v>165</v>
      </c>
      <c r="G16" s="17">
        <v>-3</v>
      </c>
      <c r="J16" s="70" t="s">
        <v>428</v>
      </c>
      <c r="V16" s="39">
        <v>-1</v>
      </c>
    </row>
    <row r="17" spans="1:22">
      <c r="A17" s="8">
        <v>12</v>
      </c>
      <c r="B17" s="9">
        <v>2</v>
      </c>
      <c r="C17" s="20">
        <v>0</v>
      </c>
      <c r="D17" s="43">
        <v>2</v>
      </c>
      <c r="F17" s="17" t="s">
        <v>166</v>
      </c>
      <c r="G17" s="17">
        <v>6</v>
      </c>
      <c r="J17" s="70" t="s">
        <v>429</v>
      </c>
      <c r="V17" s="39">
        <v>-1</v>
      </c>
    </row>
    <row r="18" spans="1:22">
      <c r="A18" s="8">
        <v>13</v>
      </c>
      <c r="B18" s="9">
        <v>1</v>
      </c>
      <c r="C18" s="20">
        <v>1</v>
      </c>
      <c r="D18" s="43">
        <v>0</v>
      </c>
      <c r="F18" s="17" t="s">
        <v>167</v>
      </c>
      <c r="G18" s="17">
        <v>5</v>
      </c>
      <c r="V18" s="39">
        <v>-1</v>
      </c>
    </row>
    <row r="19" spans="1:22">
      <c r="A19" s="8">
        <v>14</v>
      </c>
      <c r="B19" s="9">
        <v>1</v>
      </c>
      <c r="C19" s="20">
        <v>3</v>
      </c>
      <c r="D19" s="43">
        <v>-2</v>
      </c>
      <c r="F19" s="17" t="s">
        <v>168</v>
      </c>
      <c r="G19" s="17">
        <v>38</v>
      </c>
      <c r="V19" s="39">
        <v>-1</v>
      </c>
    </row>
    <row r="20" spans="1:22" ht="15.75" thickBot="1">
      <c r="A20" s="8">
        <v>15</v>
      </c>
      <c r="B20" s="9">
        <v>3</v>
      </c>
      <c r="C20" s="20">
        <v>2</v>
      </c>
      <c r="D20" s="43">
        <v>1</v>
      </c>
      <c r="F20" s="18" t="s">
        <v>169</v>
      </c>
      <c r="G20" s="18">
        <v>0.58284958420917665</v>
      </c>
      <c r="V20" s="39">
        <v>-1</v>
      </c>
    </row>
    <row r="21" spans="1:22">
      <c r="A21" s="8">
        <v>16</v>
      </c>
      <c r="B21" s="9">
        <v>2</v>
      </c>
      <c r="C21" s="20">
        <v>2</v>
      </c>
      <c r="D21" s="43">
        <v>0</v>
      </c>
      <c r="V21" s="39">
        <v>0</v>
      </c>
    </row>
    <row r="22" spans="1:22">
      <c r="A22" s="8">
        <v>17</v>
      </c>
      <c r="B22" s="9">
        <v>1</v>
      </c>
      <c r="C22" s="20">
        <v>0</v>
      </c>
      <c r="D22" s="43">
        <v>1</v>
      </c>
      <c r="V22" s="39">
        <v>0</v>
      </c>
    </row>
    <row r="23" spans="1:22">
      <c r="A23" s="8">
        <v>18</v>
      </c>
      <c r="B23" s="9">
        <v>0</v>
      </c>
      <c r="C23" s="20">
        <v>3</v>
      </c>
      <c r="D23" s="43">
        <v>-3</v>
      </c>
      <c r="F23" t="s">
        <v>269</v>
      </c>
      <c r="G23" t="s">
        <v>322</v>
      </c>
      <c r="V23" s="39">
        <v>0</v>
      </c>
    </row>
    <row r="24" spans="1:22">
      <c r="A24" s="8">
        <v>19</v>
      </c>
      <c r="B24" s="9">
        <v>1</v>
      </c>
      <c r="C24" s="20">
        <v>3</v>
      </c>
      <c r="D24" s="43">
        <v>-2</v>
      </c>
      <c r="G24" t="s">
        <v>323</v>
      </c>
      <c r="V24" s="39">
        <v>0</v>
      </c>
    </row>
    <row r="25" spans="1:22">
      <c r="A25" s="8">
        <v>20</v>
      </c>
      <c r="B25" s="9">
        <v>0</v>
      </c>
      <c r="C25" s="20">
        <v>1</v>
      </c>
      <c r="D25" s="43">
        <v>-1</v>
      </c>
      <c r="G25" t="s">
        <v>446</v>
      </c>
      <c r="V25" s="39">
        <v>0</v>
      </c>
    </row>
    <row r="26" spans="1:22">
      <c r="A26" s="8">
        <v>21</v>
      </c>
      <c r="B26" s="9">
        <v>0</v>
      </c>
      <c r="C26" s="20">
        <v>2</v>
      </c>
      <c r="D26" s="43">
        <v>-2</v>
      </c>
      <c r="G26" t="s">
        <v>270</v>
      </c>
      <c r="V26" s="39">
        <v>0</v>
      </c>
    </row>
    <row r="27" spans="1:22">
      <c r="A27" s="8">
        <v>22</v>
      </c>
      <c r="B27" s="9">
        <v>1</v>
      </c>
      <c r="C27" s="20">
        <v>1</v>
      </c>
      <c r="D27" s="43">
        <v>0</v>
      </c>
      <c r="V27" s="39">
        <v>0</v>
      </c>
    </row>
    <row r="28" spans="1:22">
      <c r="A28" s="8">
        <v>23</v>
      </c>
      <c r="B28" s="9">
        <v>1</v>
      </c>
      <c r="C28" s="20">
        <v>1</v>
      </c>
      <c r="D28" s="43">
        <v>0</v>
      </c>
      <c r="F28" t="s">
        <v>235</v>
      </c>
      <c r="G28" t="s">
        <v>433</v>
      </c>
      <c r="V28" s="39">
        <v>0</v>
      </c>
    </row>
    <row r="29" spans="1:22">
      <c r="A29" s="8">
        <v>24</v>
      </c>
      <c r="B29" s="9">
        <v>2</v>
      </c>
      <c r="C29" s="20">
        <v>1</v>
      </c>
      <c r="D29" s="43">
        <v>1</v>
      </c>
      <c r="F29" t="s">
        <v>236</v>
      </c>
      <c r="G29" t="s">
        <v>324</v>
      </c>
      <c r="V29" s="39">
        <v>0</v>
      </c>
    </row>
    <row r="30" spans="1:22">
      <c r="A30" s="8">
        <v>25</v>
      </c>
      <c r="B30" s="9">
        <v>1</v>
      </c>
      <c r="C30" s="20">
        <v>2</v>
      </c>
      <c r="D30" s="43">
        <v>-1</v>
      </c>
      <c r="F30" t="s">
        <v>237</v>
      </c>
      <c r="G30" t="s">
        <v>238</v>
      </c>
      <c r="V30" s="39">
        <v>0</v>
      </c>
    </row>
    <row r="31" spans="1:22">
      <c r="A31" s="8">
        <v>26</v>
      </c>
      <c r="B31" s="9">
        <v>0</v>
      </c>
      <c r="C31" s="20">
        <v>0</v>
      </c>
      <c r="D31" s="43">
        <v>0</v>
      </c>
      <c r="V31" s="39">
        <v>0</v>
      </c>
    </row>
    <row r="32" spans="1:22">
      <c r="A32" s="8">
        <v>27</v>
      </c>
      <c r="B32" s="9">
        <v>1</v>
      </c>
      <c r="C32" s="20">
        <v>0</v>
      </c>
      <c r="D32" s="43">
        <v>1</v>
      </c>
      <c r="F32" t="s">
        <v>268</v>
      </c>
      <c r="G32" t="s">
        <v>240</v>
      </c>
      <c r="H32" t="s">
        <v>439</v>
      </c>
      <c r="V32" s="39">
        <v>0</v>
      </c>
    </row>
    <row r="33" spans="1:22">
      <c r="A33" s="8">
        <v>28</v>
      </c>
      <c r="B33" s="9">
        <v>2</v>
      </c>
      <c r="C33" s="20">
        <v>2</v>
      </c>
      <c r="D33" s="43">
        <v>0</v>
      </c>
      <c r="G33" t="str">
        <f>"Ha: md &lt; " &amp; VALUE(IF(LEN(G32)&gt;11,RIGHT(G32,4),RIGHT(G32,1)))</f>
        <v>Ha: md &lt; 0,51</v>
      </c>
      <c r="H33" t="s">
        <v>440</v>
      </c>
      <c r="V33" s="39">
        <v>1</v>
      </c>
    </row>
    <row r="34" spans="1:22">
      <c r="A34" s="8">
        <v>29</v>
      </c>
      <c r="B34" s="9">
        <v>1</v>
      </c>
      <c r="C34" s="20">
        <v>1</v>
      </c>
      <c r="D34" s="43">
        <v>0</v>
      </c>
      <c r="V34" s="39">
        <v>1</v>
      </c>
    </row>
    <row r="35" spans="1:22">
      <c r="A35" s="8">
        <v>30</v>
      </c>
      <c r="B35" s="9">
        <v>0</v>
      </c>
      <c r="C35" s="20">
        <v>2</v>
      </c>
      <c r="D35" s="43">
        <v>-2</v>
      </c>
      <c r="F35" t="s">
        <v>209</v>
      </c>
      <c r="G35">
        <f>G19</f>
        <v>38</v>
      </c>
      <c r="V35" s="39">
        <v>1</v>
      </c>
    </row>
    <row r="36" spans="1:22">
      <c r="A36" s="8">
        <v>31</v>
      </c>
      <c r="B36" s="9">
        <v>2</v>
      </c>
      <c r="C36" s="20">
        <v>3</v>
      </c>
      <c r="D36" s="43">
        <v>-1</v>
      </c>
      <c r="F36" t="s">
        <v>126</v>
      </c>
      <c r="G36">
        <f>G35-1</f>
        <v>37</v>
      </c>
      <c r="V36" s="39">
        <v>1</v>
      </c>
    </row>
    <row r="37" spans="1:22">
      <c r="A37" s="8">
        <v>32</v>
      </c>
      <c r="B37" s="9">
        <v>2</v>
      </c>
      <c r="C37" s="20">
        <v>2</v>
      </c>
      <c r="D37" s="43">
        <v>0</v>
      </c>
      <c r="F37" t="s">
        <v>190</v>
      </c>
      <c r="G37">
        <v>0.05</v>
      </c>
      <c r="V37" s="39">
        <v>1</v>
      </c>
    </row>
    <row r="38" spans="1:22">
      <c r="A38" s="8">
        <v>33</v>
      </c>
      <c r="B38" s="9">
        <v>4</v>
      </c>
      <c r="C38" s="20">
        <v>1</v>
      </c>
      <c r="D38" s="43">
        <v>3</v>
      </c>
      <c r="F38" t="s">
        <v>220</v>
      </c>
      <c r="G38" s="6">
        <f>TINV(G37*2,G36)</f>
        <v>1.6870935969261573</v>
      </c>
      <c r="H38" t="s">
        <v>239</v>
      </c>
      <c r="V38" s="39">
        <v>2</v>
      </c>
    </row>
    <row r="39" spans="1:22">
      <c r="A39" s="8">
        <v>34</v>
      </c>
      <c r="B39" s="9">
        <v>2</v>
      </c>
      <c r="C39" s="20">
        <v>3</v>
      </c>
      <c r="D39" s="43">
        <v>-1</v>
      </c>
      <c r="V39" s="39">
        <v>2</v>
      </c>
    </row>
    <row r="40" spans="1:22">
      <c r="A40" s="8">
        <v>35</v>
      </c>
      <c r="B40" s="9">
        <v>0</v>
      </c>
      <c r="C40" s="20">
        <v>0</v>
      </c>
      <c r="D40" s="43">
        <v>0</v>
      </c>
      <c r="F40" t="s">
        <v>111</v>
      </c>
      <c r="G40" s="6">
        <f>G11</f>
        <v>1.773240317421356</v>
      </c>
      <c r="H40" t="s">
        <v>247</v>
      </c>
      <c r="V40" s="39">
        <v>2</v>
      </c>
    </row>
    <row r="41" spans="1:22">
      <c r="A41" s="8">
        <v>36</v>
      </c>
      <c r="B41" s="9">
        <v>0</v>
      </c>
      <c r="C41" s="20">
        <v>1</v>
      </c>
      <c r="D41" s="43">
        <v>-1</v>
      </c>
      <c r="F41" t="s">
        <v>221</v>
      </c>
      <c r="G41" s="6">
        <f>G8</f>
        <v>0.28765756429845685</v>
      </c>
      <c r="H41" t="s">
        <v>233</v>
      </c>
      <c r="V41" s="39">
        <v>3</v>
      </c>
    </row>
    <row r="42" spans="1:22">
      <c r="A42" s="8">
        <v>37</v>
      </c>
      <c r="B42" s="9">
        <v>4</v>
      </c>
      <c r="C42" s="20">
        <v>1</v>
      </c>
      <c r="D42" s="43">
        <v>3</v>
      </c>
      <c r="V42" s="39">
        <v>3</v>
      </c>
    </row>
    <row r="43" spans="1:22">
      <c r="A43" s="8">
        <v>38</v>
      </c>
      <c r="B43" s="9">
        <v>1</v>
      </c>
      <c r="C43" s="20">
        <v>2</v>
      </c>
      <c r="D43" s="43">
        <v>-1</v>
      </c>
      <c r="F43" t="s">
        <v>231</v>
      </c>
      <c r="G43" s="6">
        <f>G7</f>
        <v>0.13157894736842105</v>
      </c>
      <c r="H43" t="s">
        <v>241</v>
      </c>
      <c r="V43" s="39">
        <v>3</v>
      </c>
    </row>
    <row r="44" spans="1:22">
      <c r="F44" t="s">
        <v>229</v>
      </c>
      <c r="G44">
        <f>VALUE(IF(LEN(G32)&gt;11,RIGHT(G32,4),RIGHT(G32,1)))</f>
        <v>0.51</v>
      </c>
      <c r="H44" t="s">
        <v>232</v>
      </c>
      <c r="V44" s="39">
        <v>6</v>
      </c>
    </row>
    <row r="45" spans="1:22">
      <c r="F45" t="s">
        <v>222</v>
      </c>
      <c r="G45" s="6">
        <f>(G43-G44)/G41</f>
        <v>-1.3155261658231632</v>
      </c>
    </row>
    <row r="47" spans="1:22">
      <c r="F47" t="s">
        <v>189</v>
      </c>
      <c r="G47" s="49">
        <f>TDIST(ABS(G45),G36,1)</f>
        <v>9.821350974530324E-2</v>
      </c>
      <c r="H47" t="s">
        <v>245</v>
      </c>
    </row>
    <row r="49" spans="6:9">
      <c r="F49" t="s">
        <v>192</v>
      </c>
      <c r="G49" s="37" t="b">
        <f>ABS(G45)&gt;G38</f>
        <v>0</v>
      </c>
      <c r="H49" s="4" t="s">
        <v>242</v>
      </c>
      <c r="I49" t="s">
        <v>434</v>
      </c>
    </row>
    <row r="50" spans="6:9">
      <c r="I50" t="s">
        <v>430</v>
      </c>
    </row>
    <row r="51" spans="6:9">
      <c r="I51" t="s">
        <v>444</v>
      </c>
    </row>
    <row r="53" spans="6:9">
      <c r="F53" t="s">
        <v>223</v>
      </c>
      <c r="G53" s="6">
        <f>G43/G40</f>
        <v>7.4202546646222778E-2</v>
      </c>
      <c r="H53" t="s">
        <v>271</v>
      </c>
    </row>
    <row r="54" spans="6:9">
      <c r="H54" t="s">
        <v>431</v>
      </c>
    </row>
    <row r="56" spans="6:9">
      <c r="F56" t="s">
        <v>230</v>
      </c>
      <c r="G56" s="6">
        <f>G43</f>
        <v>0.13157894736842105</v>
      </c>
      <c r="H56" t="s">
        <v>249</v>
      </c>
    </row>
    <row r="57" spans="6:9">
      <c r="F57" t="s">
        <v>228</v>
      </c>
      <c r="G57" s="6">
        <f>G45^2/(G45^2+G36)</f>
        <v>4.4683239781006218E-2</v>
      </c>
      <c r="H57" t="s">
        <v>435</v>
      </c>
    </row>
    <row r="58" spans="6:9">
      <c r="H58" t="s">
        <v>248</v>
      </c>
    </row>
    <row r="60" spans="6:9">
      <c r="F60" t="s">
        <v>224</v>
      </c>
    </row>
    <row r="61" spans="6:9">
      <c r="F61" t="s">
        <v>220</v>
      </c>
      <c r="G61" s="6">
        <f>TINV(G37,G36)</f>
        <v>2.0261924473658048</v>
      </c>
      <c r="H61" t="s">
        <v>243</v>
      </c>
    </row>
    <row r="62" spans="6:9">
      <c r="F62" t="s">
        <v>225</v>
      </c>
      <c r="G62">
        <f>G20</f>
        <v>0.58284958420917665</v>
      </c>
    </row>
    <row r="63" spans="6:9">
      <c r="F63" t="s">
        <v>226</v>
      </c>
      <c r="G63" s="6">
        <f>G43-G62</f>
        <v>-0.45127063684075563</v>
      </c>
      <c r="H63" t="s">
        <v>244</v>
      </c>
    </row>
    <row r="64" spans="6:9">
      <c r="F64" t="s">
        <v>234</v>
      </c>
      <c r="G64" s="6">
        <f>G43</f>
        <v>0.13157894736842105</v>
      </c>
    </row>
    <row r="65" spans="6:7">
      <c r="F65" t="s">
        <v>227</v>
      </c>
      <c r="G65" s="6">
        <f>G43+G62</f>
        <v>0.71442853157759767</v>
      </c>
    </row>
    <row r="68" spans="6:7">
      <c r="F68" t="s">
        <v>201</v>
      </c>
      <c r="G68" t="s">
        <v>250</v>
      </c>
    </row>
    <row r="69" spans="6:7">
      <c r="G69" t="s">
        <v>251</v>
      </c>
    </row>
    <row r="70" spans="6:7">
      <c r="G70" t="s">
        <v>252</v>
      </c>
    </row>
    <row r="71" spans="6:7">
      <c r="G71" t="s">
        <v>442</v>
      </c>
    </row>
    <row r="74" spans="6:7">
      <c r="F74" t="s">
        <v>246</v>
      </c>
      <c r="G74" t="s">
        <v>325</v>
      </c>
    </row>
    <row r="75" spans="6:7">
      <c r="G75" t="s">
        <v>432</v>
      </c>
    </row>
    <row r="76" spans="6:7">
      <c r="G76" t="s">
        <v>443</v>
      </c>
    </row>
  </sheetData>
  <sortState ref="V7:V44">
    <sortCondition ref="V6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2:U44"/>
  <sheetViews>
    <sheetView workbookViewId="0">
      <selection activeCell="M7" sqref="M7"/>
    </sheetView>
  </sheetViews>
  <sheetFormatPr defaultRowHeight="15"/>
  <cols>
    <col min="1" max="1" width="13.28515625" customWidth="1"/>
    <col min="2" max="2" width="12" bestFit="1" customWidth="1"/>
    <col min="3" max="3" width="11.5703125" bestFit="1" customWidth="1"/>
    <col min="4" max="4" width="14.140625" customWidth="1"/>
    <col min="6" max="6" width="19" bestFit="1" customWidth="1"/>
    <col min="8" max="8" width="11.42578125" customWidth="1"/>
    <col min="9" max="9" width="10.5703125" customWidth="1"/>
  </cols>
  <sheetData>
    <row r="2" spans="1:21">
      <c r="A2" s="10" t="str">
        <f>"Chi2 Goodness of Fit (" &amp; Team!$B$1 &amp; " home games succesful wins)"</f>
        <v>Chi2 Goodness of Fit (Milan home games succesful wins)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4" spans="1:21">
      <c r="A4" s="9" t="s">
        <v>112</v>
      </c>
    </row>
    <row r="5" spans="1:21">
      <c r="A5" s="8" t="s">
        <v>108</v>
      </c>
      <c r="B5" s="8" t="s">
        <v>88</v>
      </c>
      <c r="C5" s="8" t="s">
        <v>109</v>
      </c>
      <c r="D5" s="8" t="s">
        <v>110</v>
      </c>
      <c r="F5" s="11"/>
      <c r="G5" s="4"/>
    </row>
    <row r="6" spans="1:21">
      <c r="A6" s="8">
        <v>2</v>
      </c>
      <c r="B6" s="8">
        <v>3</v>
      </c>
      <c r="C6" s="8" t="s">
        <v>70</v>
      </c>
      <c r="D6" s="8" t="s">
        <v>90</v>
      </c>
      <c r="G6" s="4" t="s">
        <v>116</v>
      </c>
      <c r="H6" t="s">
        <v>117</v>
      </c>
    </row>
    <row r="7" spans="1:21">
      <c r="A7" s="8">
        <v>4</v>
      </c>
      <c r="B7" s="8">
        <v>0</v>
      </c>
      <c r="C7" s="8" t="s">
        <v>70</v>
      </c>
      <c r="D7" s="8" t="s">
        <v>91</v>
      </c>
      <c r="F7" t="s">
        <v>114</v>
      </c>
      <c r="G7" s="7">
        <f>COUNTIF($D$6:$D$24,"W")/G35*100</f>
        <v>57.894736842105267</v>
      </c>
      <c r="H7" s="7">
        <f>100-G7</f>
        <v>42.105263157894733</v>
      </c>
      <c r="I7" t="str">
        <f xml:space="preserve"> Team!$B$1 &amp; "'s home success on season 2013-2014"</f>
        <v>Milan's home success on season 2013-2014</v>
      </c>
      <c r="N7" s="6"/>
    </row>
    <row r="8" spans="1:21">
      <c r="A8" s="8">
        <v>6</v>
      </c>
      <c r="B8" s="8">
        <v>3</v>
      </c>
      <c r="C8" s="8" t="s">
        <v>70</v>
      </c>
      <c r="D8" s="8" t="s">
        <v>90</v>
      </c>
      <c r="F8" t="s">
        <v>115</v>
      </c>
      <c r="G8" s="7">
        <f>13/G35*100</f>
        <v>68.421052631578945</v>
      </c>
      <c r="H8" s="7">
        <f>100-G8</f>
        <v>31.578947368421055</v>
      </c>
      <c r="I8" t="str">
        <f xml:space="preserve"> Team!$B$1 &amp; "'s home success on season 2012-2013"</f>
        <v>Milan's home success on season 2012-2013</v>
      </c>
    </row>
    <row r="9" spans="1:21">
      <c r="A9" s="8">
        <v>8</v>
      </c>
      <c r="B9" s="8">
        <v>3</v>
      </c>
      <c r="C9" s="8" t="s">
        <v>70</v>
      </c>
      <c r="D9" s="8" t="s">
        <v>90</v>
      </c>
      <c r="N9" s="6"/>
    </row>
    <row r="10" spans="1:21">
      <c r="A10" s="8">
        <v>10</v>
      </c>
      <c r="B10" s="8">
        <v>1</v>
      </c>
      <c r="C10" s="8" t="s">
        <v>70</v>
      </c>
      <c r="D10" s="8" t="s">
        <v>67</v>
      </c>
      <c r="F10" t="s">
        <v>269</v>
      </c>
      <c r="G10" s="38" t="s">
        <v>272</v>
      </c>
    </row>
    <row r="11" spans="1:21">
      <c r="A11" s="8">
        <v>11</v>
      </c>
      <c r="B11" s="8">
        <v>0</v>
      </c>
      <c r="C11" s="8" t="s">
        <v>70</v>
      </c>
      <c r="D11" s="8" t="s">
        <v>91</v>
      </c>
      <c r="G11" t="s">
        <v>447</v>
      </c>
    </row>
    <row r="12" spans="1:21">
      <c r="A12" s="8">
        <v>13</v>
      </c>
      <c r="B12" s="8">
        <v>1</v>
      </c>
      <c r="C12" s="8" t="s">
        <v>70</v>
      </c>
      <c r="D12" s="8" t="s">
        <v>67</v>
      </c>
      <c r="G12" t="s">
        <v>448</v>
      </c>
    </row>
    <row r="13" spans="1:21">
      <c r="A13" s="8">
        <v>16</v>
      </c>
      <c r="B13" s="8">
        <v>1</v>
      </c>
      <c r="C13" s="8" t="s">
        <v>70</v>
      </c>
      <c r="D13" s="8" t="s">
        <v>67</v>
      </c>
    </row>
    <row r="14" spans="1:21">
      <c r="A14" s="8">
        <v>18</v>
      </c>
      <c r="B14" s="8">
        <v>3</v>
      </c>
      <c r="C14" s="8" t="s">
        <v>70</v>
      </c>
      <c r="D14" s="8" t="s">
        <v>90</v>
      </c>
      <c r="F14" t="s">
        <v>278</v>
      </c>
      <c r="G14" s="54" t="s">
        <v>279</v>
      </c>
    </row>
    <row r="15" spans="1:21">
      <c r="A15" s="8">
        <v>20</v>
      </c>
      <c r="B15" s="8">
        <v>3</v>
      </c>
      <c r="C15" s="8" t="s">
        <v>70</v>
      </c>
      <c r="D15" s="8" t="s">
        <v>90</v>
      </c>
      <c r="F15" t="s">
        <v>277</v>
      </c>
      <c r="G15" s="54" t="s">
        <v>194</v>
      </c>
    </row>
    <row r="16" spans="1:21">
      <c r="A16" s="8">
        <v>22</v>
      </c>
      <c r="B16" s="8">
        <v>1</v>
      </c>
      <c r="C16" s="8" t="s">
        <v>70</v>
      </c>
      <c r="D16" s="8" t="s">
        <v>67</v>
      </c>
    </row>
    <row r="17" spans="1:10">
      <c r="A17" s="8">
        <v>24</v>
      </c>
      <c r="B17" s="8">
        <v>3</v>
      </c>
      <c r="C17" s="8" t="s">
        <v>70</v>
      </c>
      <c r="D17" s="8" t="s">
        <v>90</v>
      </c>
      <c r="F17" t="s">
        <v>268</v>
      </c>
      <c r="G17" t="s">
        <v>196</v>
      </c>
      <c r="J17" s="6"/>
    </row>
    <row r="18" spans="1:10">
      <c r="A18" s="8">
        <v>26</v>
      </c>
      <c r="B18" s="8">
        <v>0</v>
      </c>
      <c r="C18" s="8" t="s">
        <v>70</v>
      </c>
      <c r="D18" s="8" t="s">
        <v>91</v>
      </c>
      <c r="G18" t="s">
        <v>197</v>
      </c>
    </row>
    <row r="19" spans="1:10">
      <c r="A19" s="8">
        <v>28</v>
      </c>
      <c r="B19" s="8">
        <v>0</v>
      </c>
      <c r="C19" s="8" t="s">
        <v>70</v>
      </c>
      <c r="D19" s="8" t="s">
        <v>91</v>
      </c>
    </row>
    <row r="20" spans="1:10">
      <c r="A20" s="8">
        <v>31</v>
      </c>
      <c r="B20" s="8">
        <v>3</v>
      </c>
      <c r="C20" s="8" t="s">
        <v>70</v>
      </c>
      <c r="D20" s="8" t="s">
        <v>90</v>
      </c>
      <c r="F20" t="s">
        <v>188</v>
      </c>
      <c r="G20" s="6">
        <f>((G8-G7)^2)/G7 +((H8-H7)^2)/H7</f>
        <v>4.5454545454545396</v>
      </c>
    </row>
    <row r="21" spans="1:10">
      <c r="A21" s="8">
        <v>33</v>
      </c>
      <c r="B21" s="8">
        <v>3</v>
      </c>
      <c r="C21" s="8" t="s">
        <v>70</v>
      </c>
      <c r="D21" s="8" t="s">
        <v>90</v>
      </c>
      <c r="F21" t="s">
        <v>126</v>
      </c>
      <c r="G21">
        <f>COUNTA(G6:H6)-1</f>
        <v>1</v>
      </c>
    </row>
    <row r="22" spans="1:10">
      <c r="A22" s="8">
        <v>34</v>
      </c>
      <c r="B22" s="8">
        <v>3</v>
      </c>
      <c r="C22" s="8" t="s">
        <v>70</v>
      </c>
      <c r="D22" s="8" t="s">
        <v>90</v>
      </c>
      <c r="F22" t="s">
        <v>189</v>
      </c>
      <c r="G22" s="6">
        <f>CHIDIST(G20,G21)</f>
        <v>3.3006262006964625E-2</v>
      </c>
    </row>
    <row r="23" spans="1:10">
      <c r="A23" s="8">
        <v>36</v>
      </c>
      <c r="B23" s="8">
        <v>3</v>
      </c>
      <c r="C23" s="8" t="s">
        <v>70</v>
      </c>
      <c r="D23" s="8" t="s">
        <v>90</v>
      </c>
    </row>
    <row r="24" spans="1:10">
      <c r="A24" s="8">
        <v>38</v>
      </c>
      <c r="B24" s="8">
        <v>3</v>
      </c>
      <c r="C24" s="8" t="s">
        <v>70</v>
      </c>
      <c r="D24" s="8" t="s">
        <v>90</v>
      </c>
      <c r="F24" t="s">
        <v>190</v>
      </c>
      <c r="G24">
        <v>0.05</v>
      </c>
    </row>
    <row r="25" spans="1:10">
      <c r="A25" s="8">
        <v>1</v>
      </c>
      <c r="B25" s="8">
        <v>0</v>
      </c>
      <c r="C25" s="8" t="s">
        <v>66</v>
      </c>
      <c r="D25" s="8" t="s">
        <v>91</v>
      </c>
      <c r="F25" t="s">
        <v>192</v>
      </c>
      <c r="G25" s="37" t="b">
        <f>G22&lt;G24</f>
        <v>1</v>
      </c>
      <c r="H25" t="s">
        <v>193</v>
      </c>
      <c r="I25" t="s">
        <v>198</v>
      </c>
    </row>
    <row r="26" spans="1:10">
      <c r="A26" s="8">
        <v>3</v>
      </c>
      <c r="B26" s="8">
        <v>1</v>
      </c>
      <c r="C26" s="8" t="s">
        <v>66</v>
      </c>
      <c r="D26" s="8" t="s">
        <v>67</v>
      </c>
      <c r="I26" t="s">
        <v>273</v>
      </c>
    </row>
    <row r="27" spans="1:10">
      <c r="A27" s="8">
        <v>5</v>
      </c>
      <c r="B27" s="8">
        <v>1</v>
      </c>
      <c r="C27" s="8" t="s">
        <v>66</v>
      </c>
      <c r="D27" s="8" t="s">
        <v>67</v>
      </c>
      <c r="I27" t="s">
        <v>326</v>
      </c>
    </row>
    <row r="28" spans="1:10">
      <c r="A28" s="8">
        <v>7</v>
      </c>
      <c r="B28" s="8">
        <v>0</v>
      </c>
      <c r="C28" s="8" t="s">
        <v>66</v>
      </c>
      <c r="D28" s="8" t="s">
        <v>91</v>
      </c>
    </row>
    <row r="29" spans="1:10">
      <c r="A29" s="8">
        <v>9</v>
      </c>
      <c r="B29" s="8">
        <v>0</v>
      </c>
      <c r="C29" s="8" t="s">
        <v>66</v>
      </c>
      <c r="D29" s="8" t="s">
        <v>91</v>
      </c>
      <c r="F29" t="s">
        <v>190</v>
      </c>
      <c r="G29">
        <v>0.01</v>
      </c>
    </row>
    <row r="30" spans="1:10">
      <c r="A30" s="8">
        <v>12</v>
      </c>
      <c r="B30" s="8">
        <v>1</v>
      </c>
      <c r="C30" s="8" t="s">
        <v>66</v>
      </c>
      <c r="D30" s="8" t="s">
        <v>67</v>
      </c>
      <c r="F30" t="s">
        <v>192</v>
      </c>
      <c r="G30" s="37" t="b">
        <f>G22&lt;G29</f>
        <v>0</v>
      </c>
      <c r="H30" t="s">
        <v>195</v>
      </c>
      <c r="I30" t="s">
        <v>199</v>
      </c>
    </row>
    <row r="31" spans="1:10">
      <c r="A31" s="8">
        <v>14</v>
      </c>
      <c r="B31" s="8">
        <v>3</v>
      </c>
      <c r="C31" s="8" t="s">
        <v>66</v>
      </c>
      <c r="D31" s="8" t="s">
        <v>90</v>
      </c>
      <c r="I31" t="s">
        <v>200</v>
      </c>
    </row>
    <row r="32" spans="1:10">
      <c r="A32" s="8">
        <v>15</v>
      </c>
      <c r="B32" s="8">
        <v>1</v>
      </c>
      <c r="C32" s="8" t="s">
        <v>66</v>
      </c>
      <c r="D32" s="8" t="s">
        <v>67</v>
      </c>
      <c r="I32" t="s">
        <v>275</v>
      </c>
    </row>
    <row r="33" spans="1:13">
      <c r="A33" s="8">
        <v>17</v>
      </c>
      <c r="B33" s="8">
        <v>0</v>
      </c>
      <c r="C33" s="8" t="s">
        <v>66</v>
      </c>
      <c r="D33" s="8" t="s">
        <v>91</v>
      </c>
      <c r="I33" t="s">
        <v>274</v>
      </c>
    </row>
    <row r="34" spans="1:13">
      <c r="A34" s="8">
        <v>19</v>
      </c>
      <c r="B34" s="8">
        <v>0</v>
      </c>
      <c r="C34" s="8" t="s">
        <v>66</v>
      </c>
      <c r="D34" s="8" t="s">
        <v>91</v>
      </c>
    </row>
    <row r="35" spans="1:13">
      <c r="A35" s="8">
        <v>21</v>
      </c>
      <c r="B35" s="8">
        <v>3</v>
      </c>
      <c r="C35" s="8" t="s">
        <v>66</v>
      </c>
      <c r="D35" s="8" t="s">
        <v>90</v>
      </c>
      <c r="F35" t="s">
        <v>209</v>
      </c>
      <c r="G35">
        <f>(MAX(A6:A43)/2)</f>
        <v>19</v>
      </c>
      <c r="K35" s="4" t="s">
        <v>211</v>
      </c>
      <c r="L35" s="4" t="s">
        <v>212</v>
      </c>
      <c r="M35" s="4" t="s">
        <v>213</v>
      </c>
    </row>
    <row r="36" spans="1:13">
      <c r="A36" s="8">
        <v>23</v>
      </c>
      <c r="B36" s="8">
        <v>0</v>
      </c>
      <c r="C36" s="8" t="s">
        <v>66</v>
      </c>
      <c r="D36" s="8" t="s">
        <v>91</v>
      </c>
      <c r="F36" t="s">
        <v>214</v>
      </c>
      <c r="G36" s="6">
        <f>SQRT(G20/G35)</f>
        <v>0.48911598804451817</v>
      </c>
      <c r="H36" t="s">
        <v>210</v>
      </c>
      <c r="K36" s="4">
        <v>0.1</v>
      </c>
      <c r="L36" s="4">
        <v>0.3</v>
      </c>
      <c r="M36" s="42">
        <v>0.5</v>
      </c>
    </row>
    <row r="37" spans="1:13">
      <c r="A37" s="8">
        <v>25</v>
      </c>
      <c r="B37" s="8">
        <v>3</v>
      </c>
      <c r="C37" s="8" t="s">
        <v>66</v>
      </c>
      <c r="D37" s="8" t="s">
        <v>90</v>
      </c>
    </row>
    <row r="38" spans="1:13">
      <c r="A38" s="8">
        <v>27</v>
      </c>
      <c r="B38" s="8">
        <v>0</v>
      </c>
      <c r="C38" s="8" t="s">
        <v>66</v>
      </c>
      <c r="D38" s="8" t="s">
        <v>91</v>
      </c>
    </row>
    <row r="39" spans="1:13">
      <c r="A39" s="8">
        <v>29</v>
      </c>
      <c r="B39" s="8">
        <v>1</v>
      </c>
      <c r="C39" s="8" t="s">
        <v>66</v>
      </c>
      <c r="D39" s="8" t="s">
        <v>67</v>
      </c>
      <c r="F39" t="s">
        <v>201</v>
      </c>
      <c r="G39" s="38" t="s">
        <v>327</v>
      </c>
    </row>
    <row r="40" spans="1:13">
      <c r="A40" s="8">
        <v>30</v>
      </c>
      <c r="B40" s="8">
        <v>3</v>
      </c>
      <c r="C40" s="8" t="s">
        <v>66</v>
      </c>
      <c r="D40" s="8" t="s">
        <v>90</v>
      </c>
      <c r="G40" s="38" t="s">
        <v>328</v>
      </c>
    </row>
    <row r="41" spans="1:13">
      <c r="A41" s="8">
        <v>32</v>
      </c>
      <c r="B41" s="8">
        <v>3</v>
      </c>
      <c r="C41" s="8" t="s">
        <v>66</v>
      </c>
      <c r="D41" s="8" t="s">
        <v>90</v>
      </c>
      <c r="G41" t="s">
        <v>215</v>
      </c>
    </row>
    <row r="42" spans="1:13">
      <c r="A42" s="8">
        <v>35</v>
      </c>
      <c r="B42" s="8">
        <v>0</v>
      </c>
      <c r="C42" s="8" t="s">
        <v>66</v>
      </c>
      <c r="D42" s="8" t="s">
        <v>91</v>
      </c>
    </row>
    <row r="43" spans="1:13">
      <c r="A43" s="8">
        <v>37</v>
      </c>
      <c r="B43" s="8">
        <v>0</v>
      </c>
      <c r="C43" s="8" t="s">
        <v>66</v>
      </c>
      <c r="D43" s="8" t="s">
        <v>91</v>
      </c>
    </row>
    <row r="44" spans="1:13">
      <c r="F44" t="s">
        <v>246</v>
      </c>
      <c r="G44" s="38" t="s">
        <v>329</v>
      </c>
    </row>
  </sheetData>
  <autoFilter ref="A5:D5"/>
  <sortState ref="A6:D43">
    <sortCondition descending="1" ref="C5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2:AJ60"/>
  <sheetViews>
    <sheetView workbookViewId="0">
      <selection activeCell="R39" sqref="R39"/>
    </sheetView>
  </sheetViews>
  <sheetFormatPr defaultRowHeight="15"/>
  <cols>
    <col min="5" max="5" width="10" customWidth="1"/>
    <col min="8" max="8" width="10.140625" customWidth="1"/>
    <col min="10" max="10" width="6" customWidth="1"/>
    <col min="11" max="14" width="6" hidden="1" customWidth="1"/>
    <col min="15" max="15" width="4.85546875" hidden="1" customWidth="1"/>
    <col min="16" max="16" width="3.85546875" hidden="1" customWidth="1"/>
    <col min="17" max="17" width="5.85546875" customWidth="1"/>
    <col min="18" max="18" width="19" bestFit="1" customWidth="1"/>
    <col min="19" max="19" width="7.5703125" bestFit="1" customWidth="1"/>
    <col min="21" max="21" width="7.5703125" customWidth="1"/>
    <col min="22" max="22" width="12" bestFit="1" customWidth="1"/>
    <col min="25" max="25" width="5.7109375" bestFit="1" customWidth="1"/>
  </cols>
  <sheetData>
    <row r="2" spans="1:36">
      <c r="A2" s="10" t="str">
        <f>"Chi2 of Independence (Five betting sport companies estimations to "&amp;Team!$B$1&amp;" drawing the game at home)"</f>
        <v>Chi2 of Independence (Five betting sport companies estimations to Milan drawing the game at home)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4" spans="1:36">
      <c r="A4" s="9" t="s">
        <v>112</v>
      </c>
      <c r="J4" s="14"/>
      <c r="Q4" s="14"/>
    </row>
    <row r="5" spans="1:36">
      <c r="A5" s="8" t="s">
        <v>108</v>
      </c>
      <c r="B5" s="8" t="s">
        <v>88</v>
      </c>
      <c r="C5" s="8" t="s">
        <v>109</v>
      </c>
      <c r="D5" s="8" t="s">
        <v>110</v>
      </c>
      <c r="E5" s="8" t="s">
        <v>23</v>
      </c>
      <c r="F5" s="8" t="s">
        <v>26</v>
      </c>
      <c r="G5" s="8" t="s">
        <v>32</v>
      </c>
      <c r="H5" s="8" t="s">
        <v>35</v>
      </c>
      <c r="I5" s="8" t="s">
        <v>38</v>
      </c>
      <c r="K5" s="11" t="s">
        <v>121</v>
      </c>
      <c r="L5" t="str">
        <f>E$5</f>
        <v>B365D</v>
      </c>
      <c r="M5" t="str">
        <f>F$5</f>
        <v>BWD</v>
      </c>
      <c r="N5" t="str">
        <f>G$5</f>
        <v>LBD</v>
      </c>
      <c r="O5" t="str">
        <f>H$5</f>
        <v>PSD</v>
      </c>
      <c r="P5" t="str">
        <f>I$5</f>
        <v>WHD</v>
      </c>
      <c r="R5" t="s">
        <v>118</v>
      </c>
      <c r="S5" t="str">
        <f>E$5</f>
        <v>B365D</v>
      </c>
      <c r="T5" t="str">
        <f>F$5</f>
        <v>BWD</v>
      </c>
      <c r="U5" t="str">
        <f>G$5</f>
        <v>LBD</v>
      </c>
      <c r="V5" t="str">
        <f>H$5</f>
        <v>PSD</v>
      </c>
      <c r="W5" t="str">
        <f>I$5</f>
        <v>WHD</v>
      </c>
      <c r="X5" t="s">
        <v>120</v>
      </c>
      <c r="Z5" s="39" t="s">
        <v>216</v>
      </c>
    </row>
    <row r="6" spans="1:36">
      <c r="A6" s="8">
        <v>2</v>
      </c>
      <c r="B6" s="8">
        <v>3</v>
      </c>
      <c r="C6" s="8" t="s">
        <v>70</v>
      </c>
      <c r="D6" s="8" t="s">
        <v>90</v>
      </c>
      <c r="E6" s="8">
        <v>4.5</v>
      </c>
      <c r="F6" s="8">
        <v>4.5999999999999996</v>
      </c>
      <c r="G6" s="8">
        <v>4.5</v>
      </c>
      <c r="H6" s="8">
        <v>4.87</v>
      </c>
      <c r="I6" s="8">
        <v>4.5</v>
      </c>
      <c r="K6" s="6">
        <f t="shared" ref="K6:K43" si="0">SUM(E6:I6)/COUNT(E6:I6)</f>
        <v>4.5939999999999994</v>
      </c>
      <c r="L6">
        <f>IF(E6&lt;=$K6+0.04,1,0)</f>
        <v>1</v>
      </c>
      <c r="M6">
        <f t="shared" ref="M6:P6" si="1">IF(F6&lt;=$K6+0.04,1,0)</f>
        <v>1</v>
      </c>
      <c r="N6">
        <f t="shared" si="1"/>
        <v>1</v>
      </c>
      <c r="O6">
        <f t="shared" si="1"/>
        <v>0</v>
      </c>
      <c r="P6">
        <f t="shared" si="1"/>
        <v>1</v>
      </c>
      <c r="R6" t="s">
        <v>122</v>
      </c>
      <c r="S6">
        <f>COUNTIF(L$6:L$24,1)</f>
        <v>9</v>
      </c>
      <c r="T6">
        <f>COUNTIF(M$6:M$24,1)</f>
        <v>10</v>
      </c>
      <c r="U6">
        <f>COUNTIF(N$6:N$24,1)</f>
        <v>13</v>
      </c>
      <c r="V6">
        <f>COUNTIF(O$6:O$24,1)</f>
        <v>0</v>
      </c>
      <c r="W6">
        <f>COUNTIF(P$6:P$24,1)</f>
        <v>18</v>
      </c>
      <c r="X6">
        <f>SUM(S6:W6)</f>
        <v>50</v>
      </c>
      <c r="Y6" s="15"/>
      <c r="Z6" s="39" t="s">
        <v>217</v>
      </c>
    </row>
    <row r="7" spans="1:36">
      <c r="A7" s="8">
        <v>4</v>
      </c>
      <c r="B7" s="8">
        <v>0</v>
      </c>
      <c r="C7" s="8" t="s">
        <v>70</v>
      </c>
      <c r="D7" s="8" t="s">
        <v>91</v>
      </c>
      <c r="E7" s="8">
        <v>3.4</v>
      </c>
      <c r="F7" s="8">
        <v>3.25</v>
      </c>
      <c r="G7" s="8">
        <v>3.3</v>
      </c>
      <c r="H7" s="8">
        <v>3.44</v>
      </c>
      <c r="I7" s="8">
        <v>3.3</v>
      </c>
      <c r="K7" s="6">
        <f t="shared" si="0"/>
        <v>3.3379999999999996</v>
      </c>
      <c r="L7">
        <f t="shared" ref="L7:L43" si="2">IF(E7&lt;=$K7+0.04,1,0)</f>
        <v>0</v>
      </c>
      <c r="M7">
        <f t="shared" ref="M7:M43" si="3">IF(F7&lt;=$K7+0.04,1,0)</f>
        <v>1</v>
      </c>
      <c r="N7">
        <f t="shared" ref="N7:N43" si="4">IF(G7&lt;=$K7+0.04,1,0)</f>
        <v>1</v>
      </c>
      <c r="O7">
        <f t="shared" ref="O7:O43" si="5">IF(H7&lt;=$K7+0.04,1,0)</f>
        <v>0</v>
      </c>
      <c r="P7">
        <f t="shared" ref="P7:P43" si="6">IF(I7&lt;=$K7+0.04,1,0)</f>
        <v>1</v>
      </c>
      <c r="R7" t="s">
        <v>123</v>
      </c>
      <c r="S7">
        <f>COUNTIF(L$6:L$24,0)</f>
        <v>10</v>
      </c>
      <c r="T7">
        <f>COUNTIF(M$6:M$24,0)</f>
        <v>9</v>
      </c>
      <c r="U7">
        <f>COUNTIF(N$6:N$24,0)</f>
        <v>6</v>
      </c>
      <c r="V7">
        <f>COUNTIF(O$6:O$24,0)</f>
        <v>19</v>
      </c>
      <c r="W7">
        <f>COUNTIF(P$6:P$24,0)</f>
        <v>1</v>
      </c>
      <c r="X7">
        <f t="shared" ref="X7:X8" si="7">SUM(S7:W7)</f>
        <v>45</v>
      </c>
      <c r="Y7" s="15"/>
      <c r="Z7" s="39" t="s">
        <v>218</v>
      </c>
    </row>
    <row r="8" spans="1:36">
      <c r="A8" s="8">
        <v>6</v>
      </c>
      <c r="B8" s="8">
        <v>3</v>
      </c>
      <c r="C8" s="8" t="s">
        <v>70</v>
      </c>
      <c r="D8" s="8" t="s">
        <v>90</v>
      </c>
      <c r="E8" s="8">
        <v>4</v>
      </c>
      <c r="F8" s="8">
        <v>4.25</v>
      </c>
      <c r="G8" s="8">
        <v>4</v>
      </c>
      <c r="H8" s="8">
        <v>4.59</v>
      </c>
      <c r="I8" s="8">
        <v>4.33</v>
      </c>
      <c r="K8" s="6">
        <f t="shared" si="0"/>
        <v>4.234</v>
      </c>
      <c r="L8">
        <f t="shared" si="2"/>
        <v>1</v>
      </c>
      <c r="M8">
        <f t="shared" si="3"/>
        <v>1</v>
      </c>
      <c r="N8">
        <f t="shared" si="4"/>
        <v>1</v>
      </c>
      <c r="O8">
        <f t="shared" si="5"/>
        <v>0</v>
      </c>
      <c r="P8">
        <f t="shared" si="6"/>
        <v>0</v>
      </c>
      <c r="R8" t="s">
        <v>120</v>
      </c>
      <c r="S8">
        <f>SUM(S6:S7)</f>
        <v>19</v>
      </c>
      <c r="T8">
        <f t="shared" ref="T8:W8" si="8">SUM(T6:T7)</f>
        <v>19</v>
      </c>
      <c r="U8">
        <f t="shared" si="8"/>
        <v>19</v>
      </c>
      <c r="V8">
        <f t="shared" si="8"/>
        <v>19</v>
      </c>
      <c r="W8">
        <f t="shared" si="8"/>
        <v>19</v>
      </c>
      <c r="X8">
        <f t="shared" si="7"/>
        <v>95</v>
      </c>
    </row>
    <row r="9" spans="1:36">
      <c r="A9" s="8">
        <v>8</v>
      </c>
      <c r="B9" s="8">
        <v>3</v>
      </c>
      <c r="C9" s="8" t="s">
        <v>70</v>
      </c>
      <c r="D9" s="8" t="s">
        <v>90</v>
      </c>
      <c r="E9" s="8">
        <v>3.6</v>
      </c>
      <c r="F9" s="8">
        <v>3.75</v>
      </c>
      <c r="G9" s="8">
        <v>3.75</v>
      </c>
      <c r="H9" s="8">
        <v>3.88</v>
      </c>
      <c r="I9" s="8">
        <v>3.4</v>
      </c>
      <c r="K9" s="6">
        <f t="shared" si="0"/>
        <v>3.6759999999999997</v>
      </c>
      <c r="L9">
        <f t="shared" si="2"/>
        <v>1</v>
      </c>
      <c r="M9">
        <f t="shared" si="3"/>
        <v>0</v>
      </c>
      <c r="N9">
        <f t="shared" si="4"/>
        <v>0</v>
      </c>
      <c r="O9">
        <f t="shared" si="5"/>
        <v>0</v>
      </c>
      <c r="P9">
        <f t="shared" si="6"/>
        <v>1</v>
      </c>
    </row>
    <row r="10" spans="1:36">
      <c r="A10" s="8">
        <v>10</v>
      </c>
      <c r="B10" s="8">
        <v>1</v>
      </c>
      <c r="C10" s="8" t="s">
        <v>70</v>
      </c>
      <c r="D10" s="8" t="s">
        <v>67</v>
      </c>
      <c r="E10" s="8">
        <v>3.5</v>
      </c>
      <c r="F10" s="8">
        <v>3.6</v>
      </c>
      <c r="G10" s="8">
        <v>3.6</v>
      </c>
      <c r="H10" s="8">
        <v>3.69</v>
      </c>
      <c r="I10" s="8">
        <v>3.6</v>
      </c>
      <c r="K10" s="6">
        <f t="shared" si="0"/>
        <v>3.5979999999999999</v>
      </c>
      <c r="L10">
        <f t="shared" si="2"/>
        <v>1</v>
      </c>
      <c r="M10">
        <f t="shared" si="3"/>
        <v>1</v>
      </c>
      <c r="N10">
        <f t="shared" si="4"/>
        <v>1</v>
      </c>
      <c r="O10">
        <f t="shared" si="5"/>
        <v>0</v>
      </c>
      <c r="P10">
        <f t="shared" si="6"/>
        <v>1</v>
      </c>
    </row>
    <row r="11" spans="1:36">
      <c r="A11" s="8">
        <v>11</v>
      </c>
      <c r="B11" s="8">
        <v>0</v>
      </c>
      <c r="C11" s="8" t="s">
        <v>70</v>
      </c>
      <c r="D11" s="8" t="s">
        <v>91</v>
      </c>
      <c r="E11" s="8">
        <v>3.5</v>
      </c>
      <c r="F11" s="8">
        <v>3.4</v>
      </c>
      <c r="G11" s="8">
        <v>3.5</v>
      </c>
      <c r="H11" s="8">
        <v>3.61</v>
      </c>
      <c r="I11" s="8">
        <v>3.1</v>
      </c>
      <c r="K11" s="6">
        <f t="shared" si="0"/>
        <v>3.4219999999999997</v>
      </c>
      <c r="L11">
        <f t="shared" si="2"/>
        <v>0</v>
      </c>
      <c r="M11">
        <f t="shared" si="3"/>
        <v>1</v>
      </c>
      <c r="N11">
        <f t="shared" si="4"/>
        <v>0</v>
      </c>
      <c r="O11">
        <f t="shared" si="5"/>
        <v>0</v>
      </c>
      <c r="P11">
        <f t="shared" si="6"/>
        <v>1</v>
      </c>
      <c r="R11" t="s">
        <v>119</v>
      </c>
      <c r="S11" t="str">
        <f>E$5</f>
        <v>B365D</v>
      </c>
      <c r="T11" t="str">
        <f>F$5</f>
        <v>BWD</v>
      </c>
      <c r="U11" t="str">
        <f>G$5</f>
        <v>LBD</v>
      </c>
      <c r="V11" t="str">
        <f>H$5</f>
        <v>PSD</v>
      </c>
      <c r="W11" t="str">
        <f>I$5</f>
        <v>WHD</v>
      </c>
      <c r="X11" t="s">
        <v>120</v>
      </c>
    </row>
    <row r="12" spans="1:36">
      <c r="A12" s="8">
        <v>13</v>
      </c>
      <c r="B12" s="8">
        <v>1</v>
      </c>
      <c r="C12" s="8" t="s">
        <v>70</v>
      </c>
      <c r="D12" s="8" t="s">
        <v>67</v>
      </c>
      <c r="E12" s="8">
        <v>4.2</v>
      </c>
      <c r="F12" s="8">
        <v>4.2</v>
      </c>
      <c r="G12" s="8">
        <v>4</v>
      </c>
      <c r="H12" s="8">
        <v>4.45</v>
      </c>
      <c r="I12" s="8">
        <v>4</v>
      </c>
      <c r="K12" s="6">
        <f t="shared" si="0"/>
        <v>4.17</v>
      </c>
      <c r="L12">
        <f t="shared" si="2"/>
        <v>1</v>
      </c>
      <c r="M12">
        <f t="shared" si="3"/>
        <v>1</v>
      </c>
      <c r="N12">
        <f t="shared" si="4"/>
        <v>1</v>
      </c>
      <c r="O12">
        <f t="shared" si="5"/>
        <v>0</v>
      </c>
      <c r="P12">
        <f t="shared" si="6"/>
        <v>1</v>
      </c>
      <c r="R12" t="s">
        <v>122</v>
      </c>
      <c r="S12">
        <f>($X$12/$X$14)*S14</f>
        <v>10</v>
      </c>
      <c r="T12">
        <f t="shared" ref="T12:W12" si="9">($X$12/$X$14)*T14</f>
        <v>10</v>
      </c>
      <c r="U12">
        <f t="shared" si="9"/>
        <v>10</v>
      </c>
      <c r="V12">
        <f t="shared" si="9"/>
        <v>10</v>
      </c>
      <c r="W12">
        <f t="shared" si="9"/>
        <v>10</v>
      </c>
      <c r="X12">
        <f>X6</f>
        <v>50</v>
      </c>
    </row>
    <row r="13" spans="1:36">
      <c r="A13" s="8">
        <v>16</v>
      </c>
      <c r="B13" s="8">
        <v>1</v>
      </c>
      <c r="C13" s="8" t="s">
        <v>70</v>
      </c>
      <c r="D13" s="8" t="s">
        <v>67</v>
      </c>
      <c r="E13" s="8">
        <v>3.3</v>
      </c>
      <c r="F13" s="8">
        <v>3.3</v>
      </c>
      <c r="G13" s="8">
        <v>3.3</v>
      </c>
      <c r="H13" s="8">
        <v>3.47</v>
      </c>
      <c r="I13" s="8">
        <v>3.2</v>
      </c>
      <c r="K13" s="6">
        <f t="shared" si="0"/>
        <v>3.3140000000000001</v>
      </c>
      <c r="L13">
        <f t="shared" si="2"/>
        <v>1</v>
      </c>
      <c r="M13">
        <f t="shared" si="3"/>
        <v>1</v>
      </c>
      <c r="N13">
        <f t="shared" si="4"/>
        <v>1</v>
      </c>
      <c r="O13">
        <f t="shared" si="5"/>
        <v>0</v>
      </c>
      <c r="P13">
        <f t="shared" si="6"/>
        <v>1</v>
      </c>
      <c r="R13" t="s">
        <v>123</v>
      </c>
      <c r="S13">
        <f>($X$13/$X$14)*S14</f>
        <v>9</v>
      </c>
      <c r="T13">
        <f t="shared" ref="T13:W13" si="10">($X$13/$X$14)*T14</f>
        <v>9</v>
      </c>
      <c r="U13">
        <f t="shared" si="10"/>
        <v>9</v>
      </c>
      <c r="V13">
        <f t="shared" si="10"/>
        <v>9</v>
      </c>
      <c r="W13">
        <f t="shared" si="10"/>
        <v>9</v>
      </c>
      <c r="X13">
        <f>X7</f>
        <v>45</v>
      </c>
    </row>
    <row r="14" spans="1:36">
      <c r="A14" s="8">
        <v>18</v>
      </c>
      <c r="B14" s="8">
        <v>3</v>
      </c>
      <c r="C14" s="8" t="s">
        <v>70</v>
      </c>
      <c r="D14" s="8" t="s">
        <v>90</v>
      </c>
      <c r="E14" s="8">
        <v>4.2</v>
      </c>
      <c r="F14" s="8">
        <v>4.25</v>
      </c>
      <c r="G14" s="8">
        <v>4</v>
      </c>
      <c r="H14" s="8">
        <v>4.5199999999999996</v>
      </c>
      <c r="I14" s="8">
        <v>4</v>
      </c>
      <c r="K14" s="6">
        <f t="shared" si="0"/>
        <v>4.194</v>
      </c>
      <c r="L14">
        <f t="shared" si="2"/>
        <v>1</v>
      </c>
      <c r="M14">
        <f t="shared" si="3"/>
        <v>0</v>
      </c>
      <c r="N14">
        <f t="shared" si="4"/>
        <v>1</v>
      </c>
      <c r="O14">
        <f t="shared" si="5"/>
        <v>0</v>
      </c>
      <c r="P14">
        <f t="shared" si="6"/>
        <v>1</v>
      </c>
      <c r="R14" t="s">
        <v>120</v>
      </c>
      <c r="S14">
        <f t="shared" ref="S14:W14" si="11">S8</f>
        <v>19</v>
      </c>
      <c r="T14">
        <f t="shared" si="11"/>
        <v>19</v>
      </c>
      <c r="U14">
        <f t="shared" si="11"/>
        <v>19</v>
      </c>
      <c r="V14">
        <f t="shared" si="11"/>
        <v>19</v>
      </c>
      <c r="W14">
        <f t="shared" si="11"/>
        <v>19</v>
      </c>
      <c r="X14">
        <f>X8</f>
        <v>95</v>
      </c>
    </row>
    <row r="15" spans="1:36">
      <c r="A15" s="8">
        <v>20</v>
      </c>
      <c r="B15" s="8">
        <v>3</v>
      </c>
      <c r="C15" s="8" t="s">
        <v>70</v>
      </c>
      <c r="D15" s="8" t="s">
        <v>90</v>
      </c>
      <c r="E15" s="8">
        <v>4.33</v>
      </c>
      <c r="F15" s="8">
        <v>4.33</v>
      </c>
      <c r="G15" s="8">
        <v>4.33</v>
      </c>
      <c r="H15" s="8">
        <v>4.74</v>
      </c>
      <c r="I15" s="8">
        <v>4</v>
      </c>
      <c r="K15" s="6">
        <f t="shared" si="0"/>
        <v>4.3460000000000001</v>
      </c>
      <c r="L15">
        <f t="shared" si="2"/>
        <v>1</v>
      </c>
      <c r="M15">
        <f t="shared" si="3"/>
        <v>1</v>
      </c>
      <c r="N15">
        <f t="shared" si="4"/>
        <v>1</v>
      </c>
      <c r="O15">
        <f t="shared" si="5"/>
        <v>0</v>
      </c>
      <c r="P15">
        <f t="shared" si="6"/>
        <v>1</v>
      </c>
    </row>
    <row r="16" spans="1:36">
      <c r="A16" s="8">
        <v>22</v>
      </c>
      <c r="B16" s="8">
        <v>1</v>
      </c>
      <c r="C16" s="8" t="s">
        <v>70</v>
      </c>
      <c r="D16" s="8" t="s">
        <v>67</v>
      </c>
      <c r="E16" s="8">
        <v>3.8</v>
      </c>
      <c r="F16" s="8">
        <v>3.8</v>
      </c>
      <c r="G16" s="8">
        <v>3.75</v>
      </c>
      <c r="H16" s="8">
        <v>3.75</v>
      </c>
      <c r="I16" s="8">
        <v>3.3</v>
      </c>
      <c r="K16" s="6">
        <f t="shared" si="0"/>
        <v>3.6799999999999997</v>
      </c>
      <c r="L16">
        <f t="shared" si="2"/>
        <v>0</v>
      </c>
      <c r="M16">
        <f t="shared" si="3"/>
        <v>0</v>
      </c>
      <c r="N16">
        <f t="shared" si="4"/>
        <v>0</v>
      </c>
      <c r="O16">
        <f t="shared" si="5"/>
        <v>0</v>
      </c>
      <c r="P16">
        <f t="shared" si="6"/>
        <v>1</v>
      </c>
      <c r="R16" s="40" t="s">
        <v>188</v>
      </c>
      <c r="S16" s="41">
        <f t="shared" ref="S16:W17" si="12">(S6-S12)^2/S12</f>
        <v>0.1</v>
      </c>
      <c r="T16" s="41">
        <f t="shared" si="12"/>
        <v>0</v>
      </c>
      <c r="U16" s="41">
        <f t="shared" si="12"/>
        <v>0.9</v>
      </c>
      <c r="V16" s="41">
        <f t="shared" si="12"/>
        <v>10</v>
      </c>
      <c r="W16" s="41">
        <f t="shared" si="12"/>
        <v>6.4</v>
      </c>
    </row>
    <row r="17" spans="1:23">
      <c r="A17" s="8">
        <v>24</v>
      </c>
      <c r="B17" s="8">
        <v>3</v>
      </c>
      <c r="C17" s="8" t="s">
        <v>70</v>
      </c>
      <c r="D17" s="8" t="s">
        <v>90</v>
      </c>
      <c r="E17" s="8">
        <v>5</v>
      </c>
      <c r="F17" s="8">
        <v>5</v>
      </c>
      <c r="G17" s="8">
        <v>4.5</v>
      </c>
      <c r="H17" s="8">
        <v>5.14</v>
      </c>
      <c r="I17" s="8">
        <v>4.5</v>
      </c>
      <c r="K17" s="6">
        <f t="shared" si="0"/>
        <v>4.8280000000000003</v>
      </c>
      <c r="L17">
        <f t="shared" si="2"/>
        <v>0</v>
      </c>
      <c r="M17">
        <f t="shared" si="3"/>
        <v>0</v>
      </c>
      <c r="N17">
        <f t="shared" si="4"/>
        <v>1</v>
      </c>
      <c r="O17">
        <f t="shared" si="5"/>
        <v>0</v>
      </c>
      <c r="P17">
        <f t="shared" si="6"/>
        <v>1</v>
      </c>
      <c r="S17" s="41">
        <f t="shared" si="12"/>
        <v>0.1111111111111111</v>
      </c>
      <c r="T17" s="41">
        <f t="shared" si="12"/>
        <v>0</v>
      </c>
      <c r="U17" s="41">
        <f t="shared" si="12"/>
        <v>1</v>
      </c>
      <c r="V17" s="41">
        <f t="shared" si="12"/>
        <v>11.111111111111111</v>
      </c>
      <c r="W17" s="41">
        <f t="shared" si="12"/>
        <v>7.1111111111111107</v>
      </c>
    </row>
    <row r="18" spans="1:23">
      <c r="A18" s="8">
        <v>26</v>
      </c>
      <c r="B18" s="8">
        <v>0</v>
      </c>
      <c r="C18" s="8" t="s">
        <v>70</v>
      </c>
      <c r="D18" s="8" t="s">
        <v>91</v>
      </c>
      <c r="E18" s="8">
        <v>3.5</v>
      </c>
      <c r="F18" s="8">
        <v>3.5</v>
      </c>
      <c r="G18" s="8">
        <v>3.4</v>
      </c>
      <c r="H18" s="8">
        <v>3.53</v>
      </c>
      <c r="I18" s="8">
        <v>3</v>
      </c>
      <c r="K18" s="6">
        <f t="shared" si="0"/>
        <v>3.3860000000000001</v>
      </c>
      <c r="L18">
        <f t="shared" si="2"/>
        <v>0</v>
      </c>
      <c r="M18">
        <f t="shared" si="3"/>
        <v>0</v>
      </c>
      <c r="N18">
        <f t="shared" si="4"/>
        <v>1</v>
      </c>
      <c r="O18">
        <f t="shared" si="5"/>
        <v>0</v>
      </c>
      <c r="P18">
        <f t="shared" si="6"/>
        <v>1</v>
      </c>
    </row>
    <row r="19" spans="1:23">
      <c r="A19" s="8">
        <v>28</v>
      </c>
      <c r="B19" s="8">
        <v>0</v>
      </c>
      <c r="C19" s="8" t="s">
        <v>70</v>
      </c>
      <c r="D19" s="8" t="s">
        <v>91</v>
      </c>
      <c r="E19" s="8">
        <v>3.6</v>
      </c>
      <c r="F19" s="8">
        <v>3.6</v>
      </c>
      <c r="G19" s="8">
        <v>3.6</v>
      </c>
      <c r="H19" s="8">
        <v>3.62</v>
      </c>
      <c r="I19" s="8">
        <v>3.3</v>
      </c>
      <c r="K19" s="6">
        <f t="shared" si="0"/>
        <v>3.5440000000000005</v>
      </c>
      <c r="L19">
        <f t="shared" si="2"/>
        <v>0</v>
      </c>
      <c r="M19">
        <f t="shared" si="3"/>
        <v>0</v>
      </c>
      <c r="N19">
        <f t="shared" si="4"/>
        <v>0</v>
      </c>
      <c r="O19">
        <f t="shared" si="5"/>
        <v>0</v>
      </c>
      <c r="P19">
        <f t="shared" si="6"/>
        <v>1</v>
      </c>
      <c r="R19" t="s">
        <v>269</v>
      </c>
      <c r="S19" t="s">
        <v>330</v>
      </c>
    </row>
    <row r="20" spans="1:23">
      <c r="A20" s="8">
        <v>31</v>
      </c>
      <c r="B20" s="8">
        <v>3</v>
      </c>
      <c r="C20" s="8" t="s">
        <v>70</v>
      </c>
      <c r="D20" s="8" t="s">
        <v>90</v>
      </c>
      <c r="E20" s="8">
        <v>4.5</v>
      </c>
      <c r="F20" s="8">
        <v>4.5</v>
      </c>
      <c r="G20" s="8">
        <v>4.2</v>
      </c>
      <c r="H20" s="8">
        <v>4.5</v>
      </c>
      <c r="I20" s="8">
        <v>4</v>
      </c>
      <c r="K20" s="6">
        <f t="shared" si="0"/>
        <v>4.34</v>
      </c>
      <c r="L20">
        <f t="shared" si="2"/>
        <v>0</v>
      </c>
      <c r="M20">
        <f t="shared" si="3"/>
        <v>0</v>
      </c>
      <c r="N20">
        <f t="shared" si="4"/>
        <v>1</v>
      </c>
      <c r="O20">
        <f t="shared" si="5"/>
        <v>0</v>
      </c>
      <c r="P20">
        <f t="shared" si="6"/>
        <v>1</v>
      </c>
      <c r="S20" t="s">
        <v>331</v>
      </c>
    </row>
    <row r="21" spans="1:23">
      <c r="A21" s="8">
        <v>33</v>
      </c>
      <c r="B21" s="8">
        <v>3</v>
      </c>
      <c r="C21" s="8" t="s">
        <v>70</v>
      </c>
      <c r="D21" s="8" t="s">
        <v>90</v>
      </c>
      <c r="E21" s="8">
        <v>5.25</v>
      </c>
      <c r="F21" s="8">
        <v>4.75</v>
      </c>
      <c r="G21" s="8">
        <v>4.5</v>
      </c>
      <c r="H21" s="8">
        <v>5.22</v>
      </c>
      <c r="I21" s="8">
        <v>4.2</v>
      </c>
      <c r="K21" s="6">
        <f t="shared" si="0"/>
        <v>4.7839999999999998</v>
      </c>
      <c r="L21">
        <f t="shared" si="2"/>
        <v>0</v>
      </c>
      <c r="M21">
        <f t="shared" si="3"/>
        <v>1</v>
      </c>
      <c r="N21">
        <f t="shared" si="4"/>
        <v>1</v>
      </c>
      <c r="O21">
        <f t="shared" si="5"/>
        <v>0</v>
      </c>
      <c r="P21">
        <f t="shared" si="6"/>
        <v>1</v>
      </c>
      <c r="S21" t="s">
        <v>276</v>
      </c>
    </row>
    <row r="22" spans="1:23">
      <c r="A22" s="8">
        <v>34</v>
      </c>
      <c r="B22" s="8">
        <v>3</v>
      </c>
      <c r="C22" s="8" t="s">
        <v>70</v>
      </c>
      <c r="D22" s="8" t="s">
        <v>90</v>
      </c>
      <c r="E22" s="8">
        <v>5.5</v>
      </c>
      <c r="F22" s="8">
        <v>5</v>
      </c>
      <c r="G22" s="8">
        <v>5</v>
      </c>
      <c r="H22" s="8">
        <v>5.82</v>
      </c>
      <c r="I22" s="8">
        <v>5</v>
      </c>
      <c r="K22" s="6">
        <f t="shared" si="0"/>
        <v>5.2640000000000002</v>
      </c>
      <c r="L22">
        <f t="shared" si="2"/>
        <v>0</v>
      </c>
      <c r="M22">
        <f t="shared" si="3"/>
        <v>1</v>
      </c>
      <c r="N22">
        <f t="shared" si="4"/>
        <v>1</v>
      </c>
      <c r="O22">
        <f t="shared" si="5"/>
        <v>0</v>
      </c>
      <c r="P22">
        <f t="shared" si="6"/>
        <v>1</v>
      </c>
      <c r="S22" t="s">
        <v>343</v>
      </c>
    </row>
    <row r="23" spans="1:23">
      <c r="A23" s="8">
        <v>36</v>
      </c>
      <c r="B23" s="8">
        <v>3</v>
      </c>
      <c r="C23" s="8" t="s">
        <v>70</v>
      </c>
      <c r="D23" s="8" t="s">
        <v>90</v>
      </c>
      <c r="E23" s="8">
        <v>3.4</v>
      </c>
      <c r="F23" s="8">
        <v>3.4</v>
      </c>
      <c r="G23" s="8">
        <v>3.4</v>
      </c>
      <c r="H23" s="8">
        <v>3.49</v>
      </c>
      <c r="I23" s="8">
        <v>3.1</v>
      </c>
      <c r="K23" s="6">
        <f t="shared" si="0"/>
        <v>3.3579999999999997</v>
      </c>
      <c r="L23">
        <f t="shared" si="2"/>
        <v>0</v>
      </c>
      <c r="M23">
        <f t="shared" si="3"/>
        <v>0</v>
      </c>
      <c r="N23">
        <f t="shared" si="4"/>
        <v>0</v>
      </c>
      <c r="O23">
        <f t="shared" si="5"/>
        <v>0</v>
      </c>
      <c r="P23">
        <f t="shared" si="6"/>
        <v>1</v>
      </c>
      <c r="S23" t="s">
        <v>346</v>
      </c>
    </row>
    <row r="24" spans="1:23">
      <c r="A24" s="8">
        <v>38</v>
      </c>
      <c r="B24" s="8">
        <v>3</v>
      </c>
      <c r="C24" s="8" t="s">
        <v>70</v>
      </c>
      <c r="D24" s="8" t="s">
        <v>90</v>
      </c>
      <c r="E24" s="8">
        <v>5.75</v>
      </c>
      <c r="F24" s="8">
        <v>6</v>
      </c>
      <c r="G24" s="8">
        <v>6</v>
      </c>
      <c r="H24" s="8">
        <v>6.1</v>
      </c>
      <c r="I24" s="8">
        <v>5.5</v>
      </c>
      <c r="K24" s="6">
        <f t="shared" si="0"/>
        <v>5.87</v>
      </c>
      <c r="L24">
        <f t="shared" si="2"/>
        <v>1</v>
      </c>
      <c r="M24">
        <f t="shared" si="3"/>
        <v>0</v>
      </c>
      <c r="N24">
        <f t="shared" si="4"/>
        <v>0</v>
      </c>
      <c r="O24">
        <f t="shared" si="5"/>
        <v>0</v>
      </c>
      <c r="P24">
        <f t="shared" si="6"/>
        <v>1</v>
      </c>
      <c r="S24" t="s">
        <v>441</v>
      </c>
    </row>
    <row r="25" spans="1:23">
      <c r="A25" s="8">
        <v>1</v>
      </c>
      <c r="B25" s="8">
        <v>0</v>
      </c>
      <c r="C25" s="8" t="s">
        <v>66</v>
      </c>
      <c r="D25" s="8" t="s">
        <v>91</v>
      </c>
      <c r="E25" s="8">
        <v>3.6</v>
      </c>
      <c r="F25" s="8">
        <v>3.75</v>
      </c>
      <c r="G25" s="8">
        <v>3.6</v>
      </c>
      <c r="H25" s="8">
        <v>3.69</v>
      </c>
      <c r="I25" s="8">
        <v>3.6</v>
      </c>
      <c r="K25" s="12">
        <f t="shared" si="0"/>
        <v>3.6479999999999997</v>
      </c>
      <c r="L25" s="13">
        <f t="shared" si="2"/>
        <v>1</v>
      </c>
      <c r="M25" s="13">
        <f t="shared" si="3"/>
        <v>0</v>
      </c>
      <c r="N25" s="13">
        <f t="shared" si="4"/>
        <v>1</v>
      </c>
      <c r="O25" s="13">
        <f t="shared" si="5"/>
        <v>0</v>
      </c>
      <c r="P25" s="13">
        <f t="shared" si="6"/>
        <v>1</v>
      </c>
    </row>
    <row r="26" spans="1:23">
      <c r="A26" s="8">
        <v>3</v>
      </c>
      <c r="B26" s="8">
        <v>1</v>
      </c>
      <c r="C26" s="8" t="s">
        <v>66</v>
      </c>
      <c r="D26" s="8" t="s">
        <v>67</v>
      </c>
      <c r="E26" s="8">
        <v>3.6</v>
      </c>
      <c r="F26" s="8">
        <v>3.6</v>
      </c>
      <c r="G26" s="8">
        <v>3.4</v>
      </c>
      <c r="H26" s="8">
        <v>3.56</v>
      </c>
      <c r="I26" s="8">
        <v>3.5</v>
      </c>
      <c r="K26" s="12">
        <f t="shared" si="0"/>
        <v>3.532</v>
      </c>
      <c r="L26" s="13">
        <f t="shared" si="2"/>
        <v>0</v>
      </c>
      <c r="M26" s="13">
        <f t="shared" si="3"/>
        <v>0</v>
      </c>
      <c r="N26" s="13">
        <f t="shared" si="4"/>
        <v>1</v>
      </c>
      <c r="O26" s="13">
        <f t="shared" si="5"/>
        <v>1</v>
      </c>
      <c r="P26" s="13">
        <f t="shared" si="6"/>
        <v>1</v>
      </c>
      <c r="R26" t="s">
        <v>278</v>
      </c>
      <c r="S26" t="s">
        <v>280</v>
      </c>
    </row>
    <row r="27" spans="1:23">
      <c r="A27" s="8">
        <v>5</v>
      </c>
      <c r="B27" s="8">
        <v>1</v>
      </c>
      <c r="C27" s="8" t="s">
        <v>66</v>
      </c>
      <c r="D27" s="8" t="s">
        <v>67</v>
      </c>
      <c r="E27" s="8">
        <v>3.4</v>
      </c>
      <c r="F27" s="8">
        <v>3.3</v>
      </c>
      <c r="G27" s="8">
        <v>3.3</v>
      </c>
      <c r="H27" s="8">
        <v>3.35</v>
      </c>
      <c r="I27" s="8">
        <v>3.2</v>
      </c>
      <c r="K27" s="12">
        <f t="shared" si="0"/>
        <v>3.31</v>
      </c>
      <c r="L27" s="13">
        <f t="shared" si="2"/>
        <v>0</v>
      </c>
      <c r="M27" s="13">
        <f t="shared" si="3"/>
        <v>1</v>
      </c>
      <c r="N27" s="13">
        <f t="shared" si="4"/>
        <v>1</v>
      </c>
      <c r="O27" s="13">
        <f t="shared" si="5"/>
        <v>1</v>
      </c>
      <c r="P27" s="13">
        <f t="shared" si="6"/>
        <v>1</v>
      </c>
      <c r="R27" t="s">
        <v>277</v>
      </c>
      <c r="S27" s="54" t="s">
        <v>202</v>
      </c>
    </row>
    <row r="28" spans="1:23">
      <c r="A28" s="8">
        <v>7</v>
      </c>
      <c r="B28" s="8">
        <v>0</v>
      </c>
      <c r="C28" s="8" t="s">
        <v>66</v>
      </c>
      <c r="D28" s="8" t="s">
        <v>91</v>
      </c>
      <c r="E28" s="8">
        <v>4</v>
      </c>
      <c r="F28" s="8">
        <v>4</v>
      </c>
      <c r="G28" s="8">
        <v>3.75</v>
      </c>
      <c r="H28" s="8">
        <v>4.2</v>
      </c>
      <c r="I28" s="8">
        <v>3.6</v>
      </c>
      <c r="K28" s="12">
        <f t="shared" si="0"/>
        <v>3.91</v>
      </c>
      <c r="L28" s="13">
        <f t="shared" si="2"/>
        <v>0</v>
      </c>
      <c r="M28" s="13">
        <f t="shared" si="3"/>
        <v>0</v>
      </c>
      <c r="N28" s="13">
        <f t="shared" si="4"/>
        <v>1</v>
      </c>
      <c r="O28" s="13">
        <f t="shared" si="5"/>
        <v>0</v>
      </c>
      <c r="P28" s="13">
        <f t="shared" si="6"/>
        <v>1</v>
      </c>
    </row>
    <row r="29" spans="1:23">
      <c r="A29" s="8">
        <v>9</v>
      </c>
      <c r="B29" s="8">
        <v>0</v>
      </c>
      <c r="C29" s="8" t="s">
        <v>66</v>
      </c>
      <c r="D29" s="8" t="s">
        <v>91</v>
      </c>
      <c r="E29" s="8">
        <v>3.3</v>
      </c>
      <c r="F29" s="8">
        <v>3.3</v>
      </c>
      <c r="G29" s="8">
        <v>3.4</v>
      </c>
      <c r="H29" s="8">
        <v>3.5</v>
      </c>
      <c r="I29" s="8">
        <v>3.2</v>
      </c>
      <c r="K29" s="12">
        <f t="shared" si="0"/>
        <v>3.34</v>
      </c>
      <c r="L29" s="13">
        <f t="shared" si="2"/>
        <v>1</v>
      </c>
      <c r="M29" s="13">
        <f t="shared" si="3"/>
        <v>1</v>
      </c>
      <c r="N29" s="13">
        <f t="shared" si="4"/>
        <v>0</v>
      </c>
      <c r="O29" s="13">
        <f t="shared" si="5"/>
        <v>0</v>
      </c>
      <c r="P29" s="13">
        <f t="shared" si="6"/>
        <v>1</v>
      </c>
      <c r="R29" t="s">
        <v>268</v>
      </c>
      <c r="S29" t="s">
        <v>203</v>
      </c>
    </row>
    <row r="30" spans="1:23">
      <c r="A30" s="8">
        <v>12</v>
      </c>
      <c r="B30" s="8">
        <v>1</v>
      </c>
      <c r="C30" s="8" t="s">
        <v>66</v>
      </c>
      <c r="D30" s="8" t="s">
        <v>67</v>
      </c>
      <c r="E30" s="8">
        <v>3.3</v>
      </c>
      <c r="F30" s="8">
        <v>3.3</v>
      </c>
      <c r="G30" s="8">
        <v>3.4</v>
      </c>
      <c r="H30" s="8">
        <v>3.49</v>
      </c>
      <c r="I30" s="8">
        <v>3.3</v>
      </c>
      <c r="K30" s="12">
        <f t="shared" si="0"/>
        <v>3.3579999999999997</v>
      </c>
      <c r="L30" s="13">
        <f t="shared" si="2"/>
        <v>1</v>
      </c>
      <c r="M30" s="13">
        <f t="shared" si="3"/>
        <v>1</v>
      </c>
      <c r="N30" s="13">
        <f t="shared" si="4"/>
        <v>0</v>
      </c>
      <c r="O30" s="13">
        <f t="shared" si="5"/>
        <v>0</v>
      </c>
      <c r="P30" s="13">
        <f t="shared" si="6"/>
        <v>1</v>
      </c>
      <c r="S30" t="s">
        <v>204</v>
      </c>
    </row>
    <row r="31" spans="1:23">
      <c r="A31" s="8">
        <v>14</v>
      </c>
      <c r="B31" s="8">
        <v>3</v>
      </c>
      <c r="C31" s="8" t="s">
        <v>66</v>
      </c>
      <c r="D31" s="8" t="s">
        <v>90</v>
      </c>
      <c r="E31" s="8">
        <v>3.6</v>
      </c>
      <c r="F31" s="8">
        <v>3.5</v>
      </c>
      <c r="G31" s="8">
        <v>3.4</v>
      </c>
      <c r="H31" s="8">
        <v>3.67</v>
      </c>
      <c r="I31" s="8">
        <v>3.2</v>
      </c>
      <c r="K31" s="12">
        <f t="shared" si="0"/>
        <v>3.4740000000000002</v>
      </c>
      <c r="L31" s="13">
        <f t="shared" si="2"/>
        <v>0</v>
      </c>
      <c r="M31" s="13">
        <f t="shared" si="3"/>
        <v>1</v>
      </c>
      <c r="N31" s="13">
        <f t="shared" si="4"/>
        <v>1</v>
      </c>
      <c r="O31" s="13">
        <f t="shared" si="5"/>
        <v>0</v>
      </c>
      <c r="P31" s="13">
        <f t="shared" si="6"/>
        <v>1</v>
      </c>
    </row>
    <row r="32" spans="1:23">
      <c r="A32" s="8">
        <v>15</v>
      </c>
      <c r="B32" s="8">
        <v>1</v>
      </c>
      <c r="C32" s="8" t="s">
        <v>66</v>
      </c>
      <c r="D32" s="8" t="s">
        <v>67</v>
      </c>
      <c r="E32" s="8">
        <v>3.75</v>
      </c>
      <c r="F32" s="8">
        <v>3.8</v>
      </c>
      <c r="G32" s="8">
        <v>3.75</v>
      </c>
      <c r="H32" s="8">
        <v>3.8</v>
      </c>
      <c r="I32" s="8">
        <v>3.4</v>
      </c>
      <c r="K32" s="12">
        <f t="shared" si="0"/>
        <v>3.7</v>
      </c>
      <c r="L32" s="13">
        <f t="shared" si="2"/>
        <v>0</v>
      </c>
      <c r="M32" s="13">
        <f t="shared" si="3"/>
        <v>0</v>
      </c>
      <c r="N32" s="13">
        <f t="shared" si="4"/>
        <v>0</v>
      </c>
      <c r="O32" s="13">
        <f t="shared" si="5"/>
        <v>0</v>
      </c>
      <c r="P32" s="13">
        <f t="shared" si="6"/>
        <v>1</v>
      </c>
      <c r="R32" t="s">
        <v>126</v>
      </c>
      <c r="S32">
        <f>COUNTA(S5:W5)-1</f>
        <v>4</v>
      </c>
    </row>
    <row r="33" spans="1:25">
      <c r="A33" s="8">
        <v>17</v>
      </c>
      <c r="B33" s="8">
        <v>0</v>
      </c>
      <c r="C33" s="8" t="s">
        <v>66</v>
      </c>
      <c r="D33" s="8" t="s">
        <v>91</v>
      </c>
      <c r="E33" s="8">
        <v>3.3</v>
      </c>
      <c r="F33" s="8">
        <v>3.3</v>
      </c>
      <c r="G33" s="8">
        <v>3.3</v>
      </c>
      <c r="H33" s="8">
        <v>3.38</v>
      </c>
      <c r="I33" s="8">
        <v>3.1</v>
      </c>
      <c r="K33" s="12">
        <f t="shared" si="0"/>
        <v>3.2759999999999998</v>
      </c>
      <c r="L33" s="13">
        <f t="shared" si="2"/>
        <v>1</v>
      </c>
      <c r="M33" s="13">
        <f t="shared" si="3"/>
        <v>1</v>
      </c>
      <c r="N33" s="13">
        <f t="shared" si="4"/>
        <v>1</v>
      </c>
      <c r="O33" s="13">
        <f t="shared" si="5"/>
        <v>0</v>
      </c>
      <c r="P33" s="13">
        <f t="shared" si="6"/>
        <v>1</v>
      </c>
      <c r="R33" t="s">
        <v>190</v>
      </c>
      <c r="S33">
        <v>0.05</v>
      </c>
    </row>
    <row r="34" spans="1:25">
      <c r="A34" s="8">
        <v>19</v>
      </c>
      <c r="B34" s="8">
        <v>0</v>
      </c>
      <c r="C34" s="8" t="s">
        <v>66</v>
      </c>
      <c r="D34" s="8" t="s">
        <v>91</v>
      </c>
      <c r="E34" s="8">
        <v>3.6</v>
      </c>
      <c r="F34" s="8">
        <v>3.6</v>
      </c>
      <c r="G34" s="8">
        <v>3.6</v>
      </c>
      <c r="H34" s="8">
        <v>3.82</v>
      </c>
      <c r="I34" s="8">
        <v>3.2</v>
      </c>
      <c r="K34" s="12">
        <f t="shared" si="0"/>
        <v>3.5640000000000001</v>
      </c>
      <c r="L34" s="13">
        <f t="shared" si="2"/>
        <v>1</v>
      </c>
      <c r="M34" s="13">
        <f t="shared" si="3"/>
        <v>1</v>
      </c>
      <c r="N34" s="13">
        <f t="shared" si="4"/>
        <v>1</v>
      </c>
      <c r="O34" s="13">
        <f t="shared" si="5"/>
        <v>0</v>
      </c>
      <c r="P34" s="13">
        <f t="shared" si="6"/>
        <v>1</v>
      </c>
      <c r="R34" t="s">
        <v>191</v>
      </c>
      <c r="S34">
        <f>CHIINV(S33,S32)</f>
        <v>9.487729036988851</v>
      </c>
    </row>
    <row r="35" spans="1:25">
      <c r="A35" s="8">
        <v>21</v>
      </c>
      <c r="B35" s="8">
        <v>3</v>
      </c>
      <c r="C35" s="8" t="s">
        <v>66</v>
      </c>
      <c r="D35" s="8" t="s">
        <v>90</v>
      </c>
      <c r="E35" s="8">
        <v>3.3</v>
      </c>
      <c r="F35" s="8">
        <v>3.4</v>
      </c>
      <c r="G35" s="8">
        <v>3.5</v>
      </c>
      <c r="H35" s="8">
        <v>3.42</v>
      </c>
      <c r="I35" s="8">
        <v>3.3</v>
      </c>
      <c r="K35" s="12">
        <f t="shared" si="0"/>
        <v>3.3839999999999995</v>
      </c>
      <c r="L35" s="13">
        <f t="shared" si="2"/>
        <v>1</v>
      </c>
      <c r="M35" s="13">
        <f t="shared" si="3"/>
        <v>1</v>
      </c>
      <c r="N35" s="13">
        <f t="shared" si="4"/>
        <v>0</v>
      </c>
      <c r="O35" s="13">
        <f t="shared" si="5"/>
        <v>1</v>
      </c>
      <c r="P35" s="13">
        <f t="shared" si="6"/>
        <v>1</v>
      </c>
    </row>
    <row r="36" spans="1:25">
      <c r="A36" s="8">
        <v>23</v>
      </c>
      <c r="B36" s="8">
        <v>0</v>
      </c>
      <c r="C36" s="8" t="s">
        <v>66</v>
      </c>
      <c r="D36" s="8" t="s">
        <v>91</v>
      </c>
      <c r="E36" s="8">
        <v>3.4</v>
      </c>
      <c r="F36" s="8">
        <v>3.5</v>
      </c>
      <c r="G36" s="8">
        <v>3.4</v>
      </c>
      <c r="H36" s="8">
        <v>3.55</v>
      </c>
      <c r="I36" s="8">
        <v>3.1</v>
      </c>
      <c r="K36" s="12">
        <f t="shared" si="0"/>
        <v>3.3900000000000006</v>
      </c>
      <c r="L36" s="13">
        <f t="shared" si="2"/>
        <v>1</v>
      </c>
      <c r="M36" s="13">
        <f t="shared" si="3"/>
        <v>0</v>
      </c>
      <c r="N36" s="13">
        <f t="shared" si="4"/>
        <v>1</v>
      </c>
      <c r="O36" s="13">
        <f t="shared" si="5"/>
        <v>0</v>
      </c>
      <c r="P36" s="13">
        <f t="shared" si="6"/>
        <v>1</v>
      </c>
      <c r="R36" t="s">
        <v>188</v>
      </c>
      <c r="S36" s="6">
        <f>SUM(S16:W17)</f>
        <v>36.733333333333334</v>
      </c>
      <c r="U36" t="s">
        <v>189</v>
      </c>
      <c r="V36" s="75">
        <f>CHITEST(S6:W7,S12:W13)</f>
        <v>2.0441506222387669E-7</v>
      </c>
      <c r="W36" s="4"/>
      <c r="X36" s="75"/>
    </row>
    <row r="37" spans="1:25">
      <c r="A37" s="8">
        <v>25</v>
      </c>
      <c r="B37" s="8">
        <v>3</v>
      </c>
      <c r="C37" s="8" t="s">
        <v>66</v>
      </c>
      <c r="D37" s="8" t="s">
        <v>90</v>
      </c>
      <c r="E37" s="8">
        <v>3.2</v>
      </c>
      <c r="F37" s="8">
        <v>3.25</v>
      </c>
      <c r="G37" s="8">
        <v>3.25</v>
      </c>
      <c r="H37" s="8">
        <v>3.25</v>
      </c>
      <c r="I37" s="8">
        <v>3.1</v>
      </c>
      <c r="K37" s="12">
        <f t="shared" si="0"/>
        <v>3.21</v>
      </c>
      <c r="L37" s="13">
        <f t="shared" si="2"/>
        <v>1</v>
      </c>
      <c r="M37" s="13">
        <f t="shared" si="3"/>
        <v>1</v>
      </c>
      <c r="N37" s="13">
        <f t="shared" si="4"/>
        <v>1</v>
      </c>
      <c r="O37" s="13">
        <f t="shared" si="5"/>
        <v>1</v>
      </c>
      <c r="P37" s="13">
        <f t="shared" si="6"/>
        <v>1</v>
      </c>
    </row>
    <row r="38" spans="1:25">
      <c r="A38" s="8">
        <v>27</v>
      </c>
      <c r="B38" s="8">
        <v>0</v>
      </c>
      <c r="C38" s="8" t="s">
        <v>66</v>
      </c>
      <c r="D38" s="8" t="s">
        <v>91</v>
      </c>
      <c r="E38" s="8">
        <v>3.25</v>
      </c>
      <c r="F38" s="8">
        <v>3.3</v>
      </c>
      <c r="G38" s="8">
        <v>3.3</v>
      </c>
      <c r="H38" s="8">
        <v>3.28</v>
      </c>
      <c r="I38" s="8">
        <v>3.1</v>
      </c>
      <c r="K38" s="12">
        <f t="shared" si="0"/>
        <v>3.246</v>
      </c>
      <c r="L38" s="13">
        <f t="shared" si="2"/>
        <v>1</v>
      </c>
      <c r="M38" s="13">
        <f t="shared" si="3"/>
        <v>0</v>
      </c>
      <c r="N38" s="13">
        <f t="shared" si="4"/>
        <v>0</v>
      </c>
      <c r="O38" s="13">
        <f t="shared" si="5"/>
        <v>1</v>
      </c>
      <c r="P38" s="13">
        <f t="shared" si="6"/>
        <v>1</v>
      </c>
      <c r="R38" t="s">
        <v>192</v>
      </c>
      <c r="S38" t="b">
        <f>S36&gt;S34</f>
        <v>1</v>
      </c>
      <c r="T38" t="s">
        <v>193</v>
      </c>
      <c r="U38" t="s">
        <v>332</v>
      </c>
    </row>
    <row r="39" spans="1:25">
      <c r="A39" s="8">
        <v>29</v>
      </c>
      <c r="B39" s="8">
        <v>1</v>
      </c>
      <c r="C39" s="8" t="s">
        <v>66</v>
      </c>
      <c r="D39" s="8" t="s">
        <v>67</v>
      </c>
      <c r="E39" s="8">
        <v>3.2</v>
      </c>
      <c r="F39" s="8">
        <v>3.2</v>
      </c>
      <c r="G39" s="8">
        <v>3.3</v>
      </c>
      <c r="H39" s="8">
        <v>3.35</v>
      </c>
      <c r="I39" s="8">
        <v>3</v>
      </c>
      <c r="K39" s="12">
        <f t="shared" si="0"/>
        <v>3.2099999999999995</v>
      </c>
      <c r="L39" s="13">
        <f t="shared" si="2"/>
        <v>1</v>
      </c>
      <c r="M39" s="13">
        <f t="shared" si="3"/>
        <v>1</v>
      </c>
      <c r="N39" s="13">
        <f t="shared" si="4"/>
        <v>0</v>
      </c>
      <c r="O39" s="13">
        <f t="shared" si="5"/>
        <v>0</v>
      </c>
      <c r="P39" s="13">
        <f t="shared" si="6"/>
        <v>1</v>
      </c>
      <c r="U39" t="s">
        <v>205</v>
      </c>
    </row>
    <row r="40" spans="1:25">
      <c r="A40" s="8">
        <v>30</v>
      </c>
      <c r="B40" s="8">
        <v>3</v>
      </c>
      <c r="C40" s="8" t="s">
        <v>66</v>
      </c>
      <c r="D40" s="8" t="s">
        <v>90</v>
      </c>
      <c r="E40" s="8">
        <v>3.3</v>
      </c>
      <c r="F40" s="8">
        <v>3.4</v>
      </c>
      <c r="G40" s="8">
        <v>3.4</v>
      </c>
      <c r="H40" s="8">
        <v>3.33</v>
      </c>
      <c r="I40" s="8">
        <v>3.3</v>
      </c>
      <c r="K40" s="12">
        <f t="shared" si="0"/>
        <v>3.3460000000000001</v>
      </c>
      <c r="L40" s="13">
        <f t="shared" si="2"/>
        <v>1</v>
      </c>
      <c r="M40" s="13">
        <f t="shared" si="3"/>
        <v>0</v>
      </c>
      <c r="N40" s="13">
        <f t="shared" si="4"/>
        <v>0</v>
      </c>
      <c r="O40" s="13">
        <f t="shared" si="5"/>
        <v>1</v>
      </c>
      <c r="P40" s="13">
        <f t="shared" si="6"/>
        <v>1</v>
      </c>
      <c r="U40" t="s">
        <v>206</v>
      </c>
    </row>
    <row r="41" spans="1:25">
      <c r="A41" s="8">
        <v>32</v>
      </c>
      <c r="B41" s="8">
        <v>3</v>
      </c>
      <c r="C41" s="8" t="s">
        <v>66</v>
      </c>
      <c r="D41" s="8" t="s">
        <v>90</v>
      </c>
      <c r="E41" s="8">
        <v>3.3</v>
      </c>
      <c r="F41" s="8">
        <v>3.3</v>
      </c>
      <c r="G41" s="8">
        <v>3.3</v>
      </c>
      <c r="H41" s="8">
        <v>3.37</v>
      </c>
      <c r="I41" s="8">
        <v>3.1</v>
      </c>
      <c r="K41" s="12">
        <f t="shared" si="0"/>
        <v>3.274</v>
      </c>
      <c r="L41" s="13">
        <f t="shared" si="2"/>
        <v>1</v>
      </c>
      <c r="M41" s="13">
        <f t="shared" si="3"/>
        <v>1</v>
      </c>
      <c r="N41" s="13">
        <f t="shared" si="4"/>
        <v>1</v>
      </c>
      <c r="O41" s="13">
        <f t="shared" si="5"/>
        <v>0</v>
      </c>
      <c r="P41" s="13">
        <f t="shared" si="6"/>
        <v>1</v>
      </c>
      <c r="U41" t="s">
        <v>449</v>
      </c>
    </row>
    <row r="42" spans="1:25">
      <c r="A42" s="8">
        <v>35</v>
      </c>
      <c r="B42" s="8">
        <v>0</v>
      </c>
      <c r="C42" s="8" t="s">
        <v>66</v>
      </c>
      <c r="D42" s="8" t="s">
        <v>91</v>
      </c>
      <c r="E42" s="8">
        <v>3.75</v>
      </c>
      <c r="F42" s="8">
        <v>3.65</v>
      </c>
      <c r="G42" s="8">
        <v>3.6</v>
      </c>
      <c r="H42" s="8">
        <v>3.8</v>
      </c>
      <c r="I42" s="8">
        <v>3.5</v>
      </c>
      <c r="K42" s="12">
        <f t="shared" si="0"/>
        <v>3.66</v>
      </c>
      <c r="L42" s="13">
        <f t="shared" si="2"/>
        <v>0</v>
      </c>
      <c r="M42" s="13">
        <f t="shared" si="3"/>
        <v>1</v>
      </c>
      <c r="N42" s="13">
        <f t="shared" si="4"/>
        <v>1</v>
      </c>
      <c r="O42" s="13">
        <f t="shared" si="5"/>
        <v>0</v>
      </c>
      <c r="P42" s="13">
        <f t="shared" si="6"/>
        <v>1</v>
      </c>
    </row>
    <row r="43" spans="1:25">
      <c r="A43" s="8">
        <v>37</v>
      </c>
      <c r="B43" s="8">
        <v>0</v>
      </c>
      <c r="C43" s="8" t="s">
        <v>66</v>
      </c>
      <c r="D43" s="8" t="s">
        <v>91</v>
      </c>
      <c r="E43" s="8">
        <v>3.8</v>
      </c>
      <c r="F43" s="8">
        <v>4</v>
      </c>
      <c r="G43" s="8">
        <v>3.75</v>
      </c>
      <c r="H43" s="8">
        <v>4.05</v>
      </c>
      <c r="I43" s="8">
        <v>3.5</v>
      </c>
      <c r="K43" s="12">
        <f t="shared" si="0"/>
        <v>3.8200000000000003</v>
      </c>
      <c r="L43" s="13">
        <f t="shared" si="2"/>
        <v>1</v>
      </c>
      <c r="M43" s="13">
        <f t="shared" si="3"/>
        <v>0</v>
      </c>
      <c r="N43" s="13">
        <f t="shared" si="4"/>
        <v>1</v>
      </c>
      <c r="O43" s="13">
        <f t="shared" si="5"/>
        <v>0</v>
      </c>
      <c r="P43" s="13">
        <f t="shared" si="6"/>
        <v>1</v>
      </c>
      <c r="R43" t="s">
        <v>209</v>
      </c>
      <c r="S43">
        <f>SUM(S14:W14)</f>
        <v>95</v>
      </c>
      <c r="W43" t="str">
        <f>"Cramer's V table for k=" &amp; S44</f>
        <v>Cramer's V table for k=2</v>
      </c>
    </row>
    <row r="44" spans="1:25">
      <c r="R44" t="s">
        <v>207</v>
      </c>
      <c r="S44">
        <f>MIN(COUNT(S12:S13),COUNT(S12:W12))</f>
        <v>2</v>
      </c>
      <c r="W44" s="4" t="s">
        <v>211</v>
      </c>
      <c r="X44" s="4" t="s">
        <v>212</v>
      </c>
      <c r="Y44" s="4" t="s">
        <v>213</v>
      </c>
    </row>
    <row r="45" spans="1:25">
      <c r="R45" t="s">
        <v>208</v>
      </c>
      <c r="S45" s="6">
        <f>SQRT(S36/(S43*(S44-1)))</f>
        <v>0.62182527020592104</v>
      </c>
      <c r="T45" t="s">
        <v>210</v>
      </c>
      <c r="W45" s="4">
        <v>7.0000000000000007E-2</v>
      </c>
      <c r="X45" s="4">
        <v>0.21</v>
      </c>
      <c r="Y45" s="42">
        <v>0.35</v>
      </c>
    </row>
    <row r="48" spans="1:25">
      <c r="R48" t="s">
        <v>201</v>
      </c>
      <c r="S48" t="s">
        <v>422</v>
      </c>
    </row>
    <row r="49" spans="18:19">
      <c r="S49" t="s">
        <v>424</v>
      </c>
    </row>
    <row r="50" spans="18:19">
      <c r="S50" t="s">
        <v>423</v>
      </c>
    </row>
    <row r="51" spans="18:19">
      <c r="S51" t="s">
        <v>450</v>
      </c>
    </row>
    <row r="52" spans="18:19">
      <c r="S52" t="s">
        <v>451</v>
      </c>
    </row>
    <row r="53" spans="18:19">
      <c r="S53" t="s">
        <v>452</v>
      </c>
    </row>
    <row r="56" spans="18:19">
      <c r="R56" t="s">
        <v>246</v>
      </c>
      <c r="S56" t="s">
        <v>253</v>
      </c>
    </row>
    <row r="57" spans="18:19">
      <c r="S57" t="s">
        <v>344</v>
      </c>
    </row>
    <row r="58" spans="18:19">
      <c r="S58" t="s">
        <v>445</v>
      </c>
    </row>
    <row r="59" spans="18:19">
      <c r="S59" t="s">
        <v>345</v>
      </c>
    </row>
    <row r="60" spans="18:19">
      <c r="S60" t="s">
        <v>347</v>
      </c>
    </row>
  </sheetData>
  <autoFilter ref="A5:I5"/>
  <sortState ref="A6:I43">
    <sortCondition descending="1" ref="C5"/>
  </sortState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I1</vt:lpstr>
      <vt:lpstr>League</vt:lpstr>
      <vt:lpstr>CorrelReg</vt:lpstr>
      <vt:lpstr>Anova</vt:lpstr>
      <vt:lpstr>Team</vt:lpstr>
      <vt:lpstr>t-test</vt:lpstr>
      <vt:lpstr>Chi2GoF</vt:lpstr>
      <vt:lpstr>Chi2Ind</vt:lpstr>
      <vt:lpstr>Teams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Faidon (Minas) Dermesonoglou</dc:creator>
  <cp:lastModifiedBy>Faidon (Minas) Dermesonoglou</cp:lastModifiedBy>
  <dcterms:created xsi:type="dcterms:W3CDTF">2017-06-20T06:58:11Z</dcterms:created>
  <dcterms:modified xsi:type="dcterms:W3CDTF">2017-07-03T08:45:39Z</dcterms:modified>
</cp:coreProperties>
</file>